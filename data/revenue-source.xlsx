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6b852a9f8e3b1d/سطح المكتب/تخطيط ومراقبة الإيرادات/الإيرادات/2026/تقرير المستهدفات/سبتمبر/الشهري/"/>
    </mc:Choice>
  </mc:AlternateContent>
  <xr:revisionPtr revIDLastSave="21" documentId="8_{808DDDF2-6797-4731-8B1D-1B4A1A63D3A0}" xr6:coauthVersionLast="47" xr6:coauthVersionMax="47" xr10:uidLastSave="{BB434B54-F1E9-4173-A890-A89BEBA6B014}"/>
  <bookViews>
    <workbookView xWindow="51480" yWindow="2730" windowWidth="38640" windowHeight="21120" tabRatio="729" firstSheet="6" activeTab="17" xr2:uid="{27B8EBA0-61CA-4165-AFD7-012A8F0BD108}"/>
  </bookViews>
  <sheets>
    <sheet name="الايراد لنهاية السنة" sheetId="17" r:id="rId1"/>
    <sheet name="الايراد حتى تاريخه" sheetId="15" r:id="rId2"/>
    <sheet name="الايراد الشهر الحالي" sheetId="16" r:id="rId3"/>
    <sheet name="القطاع" sheetId="19" r:id="rId4"/>
    <sheet name="الايرادات_الاستثمارية" sheetId="20" r:id="rId5"/>
    <sheet name="الجزاءات والتبغ والايواء" sheetId="36" r:id="rId6"/>
    <sheet name="استقطاع" sheetId="21" r:id="rId7"/>
    <sheet name="الاستقطاع_الامانات_الاخرى" sheetId="24" r:id="rId8"/>
    <sheet name=" السناريو_الاول_للاقفال" sheetId="22" r:id="rId9"/>
    <sheet name=" السناريو_الثاني_للاقفال" sheetId="23" r:id="rId10"/>
    <sheet name="الجزائات والغرامات" sheetId="14" r:id="rId11"/>
    <sheet name="التنفيذ_والاسترداد" sheetId="26" r:id="rId12"/>
    <sheet name="المفوتر" sheetId="27" r:id="rId13"/>
    <sheet name="الميزانية الاعتماد الأصلي" sheetId="28" r:id="rId14"/>
    <sheet name="الميزانية بعد  الاعتماد" sheetId="29" r:id="rId15"/>
    <sheet name="مستهدف المفوتر" sheetId="30" r:id="rId16"/>
    <sheet name="Sheet1" sheetId="37" r:id="rId17"/>
    <sheet name="مفوتر تبويبات الوزارة" sheetId="31" r:id="rId18"/>
    <sheet name="مستهدف الوزارة " sheetId="32" r:id="rId19"/>
    <sheet name="المديونية" sheetId="34" r:id="rId20"/>
  </sheets>
  <externalReferences>
    <externalReference r:id="rId21"/>
  </externalReferences>
  <definedNames>
    <definedName name="_xlnm._FilterDatabase" localSheetId="6" hidden="1">استقطاع!$A$1:$G$59</definedName>
    <definedName name="_xlnm._FilterDatabase" localSheetId="1" hidden="1">'الايراد حتى تاريخه'!$A$1:$K$16</definedName>
    <definedName name="_xlnm._FilterDatabase" localSheetId="4" hidden="1">الايرادات_الاستثمارية!$A$1:$F$7</definedName>
    <definedName name="_xlnm._FilterDatabase" localSheetId="3" hidden="1">القطاع!$A$1:$G$41</definedName>
    <definedName name="_xlnm._FilterDatabase" localSheetId="19" hidden="1">المديونية!$A$1:$F$63</definedName>
    <definedName name="_xlnm._FilterDatabase" localSheetId="12" hidden="1">المفوتر!#REF!</definedName>
    <definedName name="_xlnm._FilterDatabase" localSheetId="13" hidden="1">'الميزانية الاعتماد الأصلي'!$R$1:$T$13</definedName>
    <definedName name="_xlnm._FilterDatabase" localSheetId="17" hidden="1">'مفوتر تبويبات الوزارة'!$A$1:$E$199</definedName>
  </definedNames>
  <calcPr calcId="191028"/>
  <pivotCaches>
    <pivotCache cacheId="29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8" l="1"/>
  <c r="C16" i="28" s="1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2" i="34"/>
  <c r="G2" i="26" l="1"/>
  <c r="C3" i="29" l="1"/>
  <c r="C4" i="29"/>
  <c r="C5" i="29"/>
  <c r="C6" i="29"/>
  <c r="C7" i="29"/>
  <c r="C8" i="29"/>
  <c r="C9" i="29"/>
  <c r="C10" i="29"/>
  <c r="C11" i="29"/>
  <c r="C12" i="29"/>
  <c r="C13" i="29"/>
  <c r="C2" i="29"/>
  <c r="C3" i="24"/>
  <c r="C13" i="15"/>
  <c r="C15" i="15"/>
  <c r="E3" i="24"/>
  <c r="D13" i="17" l="1"/>
  <c r="D14" i="17"/>
  <c r="D15" i="17"/>
  <c r="D16" i="17"/>
  <c r="D12" i="17"/>
  <c r="D13" i="15" l="1"/>
  <c r="E13" i="15"/>
  <c r="F13" i="15"/>
  <c r="G13" i="15"/>
  <c r="H13" i="15"/>
  <c r="C14" i="15"/>
  <c r="D14" i="15"/>
  <c r="E14" i="15"/>
  <c r="F14" i="15"/>
  <c r="G14" i="15"/>
  <c r="H14" i="15"/>
  <c r="D15" i="15"/>
  <c r="E15" i="15"/>
  <c r="F15" i="15"/>
  <c r="G15" i="15"/>
  <c r="H15" i="15"/>
  <c r="C16" i="15"/>
  <c r="D16" i="15"/>
  <c r="E16" i="15"/>
  <c r="F16" i="15"/>
  <c r="G16" i="15"/>
  <c r="H16" i="15"/>
  <c r="D12" i="15"/>
  <c r="E12" i="15"/>
  <c r="F12" i="15"/>
  <c r="G12" i="15"/>
  <c r="H12" i="15"/>
  <c r="E13" i="17"/>
  <c r="F13" i="17"/>
  <c r="G13" i="17"/>
  <c r="E14" i="17"/>
  <c r="F14" i="17"/>
  <c r="G14" i="17"/>
  <c r="E15" i="17"/>
  <c r="F15" i="17"/>
  <c r="G15" i="17"/>
  <c r="E16" i="17"/>
  <c r="F16" i="17"/>
  <c r="G16" i="17"/>
  <c r="E12" i="17"/>
  <c r="F12" i="17"/>
  <c r="G12" i="17"/>
  <c r="C12" i="15"/>
  <c r="C2" i="24" l="1"/>
  <c r="J2" i="20" l="1"/>
  <c r="I2" i="20" s="1"/>
  <c r="E2" i="24" l="1"/>
  <c r="G16" i="16" l="1"/>
  <c r="G15" i="16"/>
  <c r="G14" i="16"/>
  <c r="J5" i="16" l="1"/>
  <c r="H5" i="16"/>
  <c r="I5" i="16"/>
  <c r="J3" i="16"/>
  <c r="I3" i="16"/>
  <c r="H3" i="16"/>
  <c r="I6" i="16"/>
  <c r="J6" i="16"/>
  <c r="H6" i="16"/>
  <c r="J4" i="16"/>
  <c r="I4" i="16"/>
  <c r="H4" i="16"/>
  <c r="I2" i="16"/>
  <c r="J2" i="16"/>
  <c r="H2" i="16"/>
  <c r="J3" i="17" l="1"/>
  <c r="K3" i="15"/>
  <c r="J2" i="17"/>
  <c r="K2" i="15"/>
  <c r="I2" i="17"/>
  <c r="J2" i="15"/>
  <c r="I3" i="17"/>
  <c r="J3" i="15"/>
  <c r="K6" i="15" l="1"/>
  <c r="J6" i="15"/>
  <c r="I6" i="15"/>
  <c r="K4" i="15" l="1"/>
  <c r="J4" i="15"/>
  <c r="I4" i="15"/>
  <c r="K5" i="15"/>
  <c r="I5" i="15"/>
  <c r="J5" i="15"/>
  <c r="H3" i="17"/>
  <c r="I3" i="15"/>
  <c r="H2" i="17"/>
  <c r="I2" i="15"/>
  <c r="I6" i="17"/>
  <c r="H6" i="17"/>
  <c r="J6" i="17"/>
  <c r="J5" i="17" l="1"/>
  <c r="I5" i="17"/>
  <c r="H5" i="17"/>
  <c r="H4" i="17"/>
  <c r="J4" i="17"/>
  <c r="I4" i="17"/>
  <c r="E11" i="16" l="1"/>
  <c r="E16" i="16" s="1"/>
  <c r="J11" i="16" l="1"/>
  <c r="H11" i="16"/>
  <c r="D16" i="16"/>
  <c r="J16" i="16" l="1"/>
  <c r="H16" i="16"/>
  <c r="F11" i="16" l="1"/>
  <c r="F10" i="16"/>
  <c r="F15" i="16" s="1"/>
  <c r="E10" i="16"/>
  <c r="E15" i="16" s="1"/>
  <c r="F9" i="16"/>
  <c r="F14" i="16" s="1"/>
  <c r="E9" i="16"/>
  <c r="E14" i="16" s="1"/>
  <c r="G13" i="16"/>
  <c r="F8" i="16"/>
  <c r="F13" i="16" s="1"/>
  <c r="E8" i="16"/>
  <c r="E13" i="16" s="1"/>
  <c r="G12" i="16"/>
  <c r="F7" i="16"/>
  <c r="F12" i="16" s="1"/>
  <c r="E7" i="16"/>
  <c r="E12" i="16" s="1"/>
  <c r="F16" i="16" l="1"/>
  <c r="I16" i="16" s="1"/>
  <c r="I11" i="16"/>
  <c r="J10" i="16"/>
  <c r="H10" i="16"/>
  <c r="I10" i="16"/>
  <c r="D15" i="16"/>
  <c r="J8" i="16"/>
  <c r="I8" i="16"/>
  <c r="H8" i="16"/>
  <c r="D13" i="16"/>
  <c r="J9" i="16"/>
  <c r="H9" i="16"/>
  <c r="I9" i="16"/>
  <c r="D14" i="16"/>
  <c r="I14" i="16" l="1"/>
  <c r="J14" i="16"/>
  <c r="H14" i="16"/>
  <c r="J13" i="16"/>
  <c r="I13" i="16"/>
  <c r="H13" i="16"/>
  <c r="J7" i="16"/>
  <c r="I7" i="16"/>
  <c r="H7" i="16"/>
  <c r="D12" i="16"/>
  <c r="I15" i="16"/>
  <c r="J15" i="16"/>
  <c r="H15" i="16"/>
  <c r="J12" i="16" l="1"/>
  <c r="I12" i="16"/>
  <c r="H12" i="16"/>
  <c r="H8" i="17" l="1"/>
  <c r="I8" i="17"/>
  <c r="I13" i="17"/>
  <c r="K8" i="15"/>
  <c r="J8" i="17"/>
  <c r="I8" i="15"/>
  <c r="J8" i="15"/>
  <c r="H11" i="17" l="1"/>
  <c r="J11" i="17"/>
  <c r="I11" i="17"/>
  <c r="J10" i="17"/>
  <c r="H10" i="17"/>
  <c r="I10" i="17"/>
  <c r="K10" i="15"/>
  <c r="J10" i="15"/>
  <c r="I10" i="15"/>
  <c r="K13" i="15"/>
  <c r="J13" i="15"/>
  <c r="I13" i="15"/>
  <c r="J13" i="17"/>
  <c r="J7" i="17"/>
  <c r="I7" i="17"/>
  <c r="H7" i="17"/>
  <c r="I7" i="15"/>
  <c r="K7" i="15"/>
  <c r="J7" i="15"/>
  <c r="K11" i="15"/>
  <c r="I11" i="15"/>
  <c r="J11" i="15"/>
  <c r="H9" i="17"/>
  <c r="I9" i="17"/>
  <c r="J9" i="17"/>
  <c r="J9" i="15"/>
  <c r="K9" i="15"/>
  <c r="I9" i="15"/>
  <c r="H13" i="17"/>
  <c r="K12" i="15" l="1"/>
  <c r="J12" i="15"/>
  <c r="I12" i="15"/>
  <c r="H16" i="17"/>
  <c r="I16" i="17"/>
  <c r="J16" i="17"/>
  <c r="I12" i="17"/>
  <c r="H12" i="17"/>
  <c r="J12" i="17"/>
  <c r="J14" i="15"/>
  <c r="K14" i="15"/>
  <c r="I14" i="15"/>
  <c r="J14" i="17"/>
  <c r="H14" i="17"/>
  <c r="I14" i="17"/>
  <c r="I15" i="15"/>
  <c r="K15" i="15"/>
  <c r="J15" i="15"/>
  <c r="J16" i="15"/>
  <c r="K16" i="15"/>
  <c r="I16" i="15"/>
  <c r="J15" i="17"/>
  <c r="H15" i="17"/>
  <c r="I15" i="17"/>
</calcChain>
</file>

<file path=xl/sharedStrings.xml><?xml version="1.0" encoding="utf-8"?>
<sst xmlns="http://schemas.openxmlformats.org/spreadsheetml/2006/main" count="1647" uniqueCount="135">
  <si>
    <t>السنة</t>
  </si>
  <si>
    <t>التنظيم الايداري</t>
  </si>
  <si>
    <t>التبويب</t>
  </si>
  <si>
    <t>فعلي</t>
  </si>
  <si>
    <t>مقدر</t>
  </si>
  <si>
    <t>مستهدف</t>
  </si>
  <si>
    <t>محصل السنة الماضية</t>
  </si>
  <si>
    <t>نسبة_الفعلي_من المقدر</t>
  </si>
  <si>
    <t>نسبة_الفعلي_من المستهدف</t>
  </si>
  <si>
    <t>نسبة_الفعلي_من_محصل_السنة_الماضية</t>
  </si>
  <si>
    <t>منطقة الرياض</t>
  </si>
  <si>
    <t>إيرادات إستثمارية</t>
  </si>
  <si>
    <t>الرسوم والتراخيص</t>
  </si>
  <si>
    <t>جزاءات وغرامات</t>
  </si>
  <si>
    <t>التبغ والإيواء</t>
  </si>
  <si>
    <t>أخرى</t>
  </si>
  <si>
    <t>مدينة الرياض</t>
  </si>
  <si>
    <t>بلديات المنطقة</t>
  </si>
  <si>
    <t>مفوتر</t>
  </si>
  <si>
    <t>محصل  سنوات سابقة</t>
  </si>
  <si>
    <t>الشهر</t>
  </si>
  <si>
    <t>أغسطس</t>
  </si>
  <si>
    <t>القطاع</t>
  </si>
  <si>
    <t>إجمالي الفواتير
 للسنة الحالية</t>
  </si>
  <si>
    <t>إجمالي المحصل</t>
  </si>
  <si>
    <t>قطاع الامانة - الجنوب</t>
  </si>
  <si>
    <t>قطاع الامانة - الشرق</t>
  </si>
  <si>
    <t>قطاع الامانة - الشمال</t>
  </si>
  <si>
    <t>قطاع الامانة - الغرب</t>
  </si>
  <si>
    <t>قطاع الامانة - الوسط</t>
  </si>
  <si>
    <t>بلديات (أ)</t>
  </si>
  <si>
    <t>بلديات (ب)</t>
  </si>
  <si>
    <t>بلديات (ج)</t>
  </si>
  <si>
    <t>بلديات (د)</t>
  </si>
  <si>
    <t>بلديات (هـ)</t>
  </si>
  <si>
    <t>رمز الحساب</t>
  </si>
  <si>
    <t>اسم الحساب</t>
  </si>
  <si>
    <t>محصل السنة الحالية</t>
  </si>
  <si>
    <t>محصل سنوات سابقة</t>
  </si>
  <si>
    <t>ريع الأراضي (تأجير الأراض )</t>
  </si>
  <si>
    <t>إيرادات  تأجير المرافق</t>
  </si>
  <si>
    <t>إيرادات  تأجير مباني تجارية</t>
  </si>
  <si>
    <t>تأجير العقارات لأغراض مؤقته</t>
  </si>
  <si>
    <t>مبيعات التيار الكهربائي</t>
  </si>
  <si>
    <t>أرباح أخرى</t>
  </si>
  <si>
    <t>الجزاءات والغرامات</t>
  </si>
  <si>
    <t>جزاءات وغرامات بموجب أنظمة الجهة</t>
  </si>
  <si>
    <t>جزاءات وغرامات المصادرات</t>
  </si>
  <si>
    <t>جزاءات وغرامات الحسميات</t>
  </si>
  <si>
    <t>التبغ والايواء</t>
  </si>
  <si>
    <t>رسوم مبيعات التبغ</t>
  </si>
  <si>
    <t>رسوم ترخيص التبغ</t>
  </si>
  <si>
    <t>رسوم مبيعات الايواء</t>
  </si>
  <si>
    <t>الايراد</t>
  </si>
  <si>
    <t>المستقطع</t>
  </si>
  <si>
    <t>الحساب</t>
  </si>
  <si>
    <t>اشغال مرافق الإيواء</t>
  </si>
  <si>
    <t> رسم مبيعات محلات تقديم منتجات التبغ</t>
  </si>
  <si>
    <t> رسم ترخيص نشاط تقديم منتجات التبغ</t>
  </si>
  <si>
    <t> اصدار تراخيص المباني والأسوار</t>
  </si>
  <si>
    <t>اصدار رخص الأنشطة التجارية</t>
  </si>
  <si>
    <t> اصدار القرارات المساحية وفرز الأراضي العقارية والوحدات السكنية وتجزئت</t>
  </si>
  <si>
    <t> اصدار تراخيص أملاك خاصة لإقامة الفعاليات</t>
  </si>
  <si>
    <t> المقابل المالي للسماح للأنشطة التجارية بالعمل لمدة 24 ساعة</t>
  </si>
  <si>
    <t> لوحات محلات</t>
  </si>
  <si>
    <t> اللوحـات الإعـلانيـة</t>
  </si>
  <si>
    <t> جمع النفايات</t>
  </si>
  <si>
    <t> اصدار تراخيص إشغال الأرصفة العامة والطرق</t>
  </si>
  <si>
    <t> الشهادات الصحية</t>
  </si>
  <si>
    <t> الكشفية )القيام بالمعاينة أو الكشفية(</t>
  </si>
  <si>
    <t> اصدار تراخيص تأسيس أو تشغيل الصراف الآلي</t>
  </si>
  <si>
    <t>قيمة الإيرادات لكافة الأمانات</t>
  </si>
  <si>
    <t>قيمة الإيرادات الفعلية للأمانة</t>
  </si>
  <si>
    <t>قيمة الاستقطاع لكافة الأمانات</t>
  </si>
  <si>
    <t>قيمة استقطاع الأمانة</t>
  </si>
  <si>
    <t>محصل</t>
  </si>
  <si>
    <t>سبتمبر</t>
  </si>
  <si>
    <t>نقل الملكية</t>
  </si>
  <si>
    <t>أكتوبر</t>
  </si>
  <si>
    <t>نوفمبر</t>
  </si>
  <si>
    <t>ديسمبر</t>
  </si>
  <si>
    <t>مفوتر الشهر</t>
  </si>
  <si>
    <t>محصل عن الفترة الماضية</t>
  </si>
  <si>
    <t>محصل عن ذات الشهر</t>
  </si>
  <si>
    <t>قيمة الفواتير</t>
  </si>
  <si>
    <t>المنفذ</t>
  </si>
  <si>
    <t>اجمالي استرداد</t>
  </si>
  <si>
    <t>استرداد فعلي</t>
  </si>
  <si>
    <t>الإيرادات الاستثمارية</t>
  </si>
  <si>
    <t>جزاءات والغرامات</t>
  </si>
  <si>
    <t xml:space="preserve">السنة </t>
  </si>
  <si>
    <t>صافي المفوتر</t>
  </si>
  <si>
    <t>محصل السنوات السابقة</t>
  </si>
  <si>
    <t>مستهدف_الإعتماد_الأصلي</t>
  </si>
  <si>
    <t>مستهدف_بعد_الإعتماد</t>
  </si>
  <si>
    <t>مستهدف_المفوتر</t>
  </si>
  <si>
    <t>البند</t>
  </si>
  <si>
    <t>المفوتر</t>
  </si>
  <si>
    <t>إشغال الفنادق والشقق المفروشة والمنتجعات السياحية</t>
  </si>
  <si>
    <t>إصد ارالتراخيص بتأسيس أو تشغيل أبراج الاتصالات</t>
  </si>
  <si>
    <t>إصدار التراخيص بتأسيس أو تشغيل الصراف الآلي</t>
  </si>
  <si>
    <t>إصدار الشهادات الصحية</t>
  </si>
  <si>
    <t>إصدار القرارات المساحية وفرز الأراضي والعقارات والوحدات السكنية وتجزئتها</t>
  </si>
  <si>
    <t>إصدار تراخيص استخدام أملاك خاصة لإقامة فعاليات</t>
  </si>
  <si>
    <t>إصدار تراخيص إشغال الأرصفة العامة والطرق</t>
  </si>
  <si>
    <t>إصدار تراخيص الإنشاء وترميم والهدم</t>
  </si>
  <si>
    <t>إصدار تراخيص حفر الشوارع</t>
  </si>
  <si>
    <t>إصدار رخص الأنشطة التجارية</t>
  </si>
  <si>
    <t>اعتماد مخططات التطوير العقاري</t>
  </si>
  <si>
    <t>الإيرادات المختلفة</t>
  </si>
  <si>
    <t>المقابل المالي للسماح للأنشطة التجارية بالعمل 24 ساعة</t>
  </si>
  <si>
    <t>إيرادات الجزاءات والغرامات</t>
  </si>
  <si>
    <t>إيرادات رسوم اللوحات الإرشادية والمحلات</t>
  </si>
  <si>
    <t>إيرادات رسوم اللوحات الدعائية والإعلانية</t>
  </si>
  <si>
    <t>تأجير العقارات</t>
  </si>
  <si>
    <t>جمع النفايات التجارية</t>
  </si>
  <si>
    <t>رسم المعاينة والكشفية</t>
  </si>
  <si>
    <t>رسم ترخيص نشاط تقديم منتجات التبغ</t>
  </si>
  <si>
    <t>رسم مبيعات محلات تقديم منتجات التبغ</t>
  </si>
  <si>
    <t xml:space="preserve">الشهر </t>
  </si>
  <si>
    <t>المستهدف</t>
  </si>
  <si>
    <t>إيرادات رسم إشغال مرافق الإيواء</t>
  </si>
  <si>
    <t>إيرادات الرسوم والمقابلات المالية</t>
  </si>
  <si>
    <t>إيرادات استثمار العقارات البلدية</t>
  </si>
  <si>
    <t>إيرادات رسم تقديم منتجات التبغ</t>
  </si>
  <si>
    <t>رصيد المديونية الإجمالي</t>
  </si>
  <si>
    <t>مبلغ المديونية المتبقي حتى تاريخه</t>
  </si>
  <si>
    <t>ما تم سداده السنة الحالية</t>
  </si>
  <si>
    <t>الملغي من المديونية</t>
  </si>
  <si>
    <t xml:space="preserve">إيرادات استثمارية </t>
  </si>
  <si>
    <t xml:space="preserve">التبغ والإيواء </t>
  </si>
  <si>
    <t>Row Labels</t>
  </si>
  <si>
    <t>(blank)</t>
  </si>
  <si>
    <t>Grand Total</t>
  </si>
  <si>
    <t>Sum of المفوتر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</si>
</sst>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_-* #,##0_-;\-* #,##0_-;_-* &quot;-&quot;??_-;_-@_-"/>
    <numFmt numFmtId="168" formatCode="_(* #,##0.0_);_(* \(#,##0.0\);_(* &quot;-&quot;?_);_(@_)"/>
  </numFmts>
  <fonts count="2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Bahij TheSansArabic Bold"/>
      <family val="1"/>
    </font>
    <font>
      <sz val="10"/>
      <color indexed="8"/>
      <name val="Bahij TheSansArabic Bold"/>
      <family val="1"/>
    </font>
    <font>
      <sz val="9"/>
      <color theme="1"/>
      <name val="Bahij TheSansArabic Bold"/>
      <family val="1"/>
    </font>
    <font>
      <sz val="8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name val="Calibri"/>
      <family val="2"/>
    </font>
    <font>
      <sz val="11"/>
      <color theme="1"/>
      <name val="Bahij TheSansArabic Bold"/>
      <family val="1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Calibri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5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6" applyNumberFormat="0" applyAlignment="0" applyProtection="0"/>
    <xf numFmtId="0" fontId="17" fillId="12" borderId="7" applyNumberFormat="0" applyAlignment="0" applyProtection="0"/>
    <xf numFmtId="0" fontId="18" fillId="12" borderId="6" applyNumberFormat="0" applyAlignment="0" applyProtection="0"/>
    <xf numFmtId="0" fontId="19" fillId="0" borderId="8" applyNumberFormat="0" applyFill="0" applyAlignment="0" applyProtection="0"/>
    <xf numFmtId="0" fontId="20" fillId="13" borderId="9" applyNumberFormat="0" applyAlignment="0" applyProtection="0"/>
    <xf numFmtId="0" fontId="21" fillId="0" borderId="0" applyNumberFormat="0" applyFill="0" applyBorder="0" applyAlignment="0" applyProtection="0"/>
    <xf numFmtId="0" fontId="1" fillId="14" borderId="10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6" fillId="0" borderId="0"/>
    <xf numFmtId="164" fontId="26" fillId="0" borderId="0" applyFont="0" applyFill="0" applyBorder="0" applyAlignment="0" applyProtection="0"/>
    <xf numFmtId="0" fontId="2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6" fillId="0" borderId="0"/>
  </cellStyleXfs>
  <cellXfs count="80">
    <xf numFmtId="0" fontId="0" fillId="0" borderId="0" xfId="0"/>
    <xf numFmtId="0" fontId="2" fillId="3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165" fontId="2" fillId="3" borderId="0" xfId="1" applyNumberFormat="1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166" fontId="4" fillId="4" borderId="1" xfId="1" applyNumberFormat="1" applyFont="1" applyFill="1" applyBorder="1" applyAlignment="1">
      <alignment horizontal="center"/>
    </xf>
    <xf numFmtId="9" fontId="4" fillId="4" borderId="1" xfId="2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166" fontId="4" fillId="5" borderId="1" xfId="1" applyNumberFormat="1" applyFont="1" applyFill="1" applyBorder="1" applyAlignment="1">
      <alignment horizontal="center"/>
    </xf>
    <xf numFmtId="9" fontId="4" fillId="5" borderId="1" xfId="2" applyFont="1" applyFill="1" applyBorder="1" applyAlignment="1">
      <alignment horizont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166" fontId="4" fillId="6" borderId="1" xfId="1" applyNumberFormat="1" applyFont="1" applyFill="1" applyBorder="1" applyAlignment="1">
      <alignment horizontal="center"/>
    </xf>
    <xf numFmtId="9" fontId="4" fillId="6" borderId="1" xfId="2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66" fontId="3" fillId="3" borderId="1" xfId="1" applyNumberFormat="1" applyFont="1" applyFill="1" applyBorder="1" applyAlignment="1" applyProtection="1">
      <alignment horizontal="right"/>
    </xf>
    <xf numFmtId="166" fontId="0" fillId="0" borderId="0" xfId="1" applyNumberFormat="1" applyFont="1"/>
    <xf numFmtId="166" fontId="4" fillId="6" borderId="1" xfId="1" applyNumberFormat="1" applyFont="1" applyFill="1" applyBorder="1"/>
    <xf numFmtId="0" fontId="2" fillId="2" borderId="0" xfId="1" applyNumberFormat="1" applyFont="1" applyFill="1" applyAlignment="1">
      <alignment horizontal="center"/>
    </xf>
    <xf numFmtId="0" fontId="0" fillId="0" borderId="0" xfId="1" applyNumberFormat="1" applyFont="1"/>
    <xf numFmtId="165" fontId="2" fillId="2" borderId="0" xfId="1" applyNumberFormat="1" applyFont="1" applyFill="1" applyBorder="1" applyAlignment="1">
      <alignment horizontal="center"/>
    </xf>
    <xf numFmtId="166" fontId="3" fillId="3" borderId="0" xfId="1" applyNumberFormat="1" applyFont="1" applyFill="1" applyBorder="1" applyAlignment="1" applyProtection="1">
      <alignment horizontal="right"/>
    </xf>
    <xf numFmtId="166" fontId="0" fillId="0" borderId="0" xfId="0" applyNumberFormat="1"/>
    <xf numFmtId="0" fontId="8" fillId="7" borderId="0" xfId="0" applyFont="1" applyFill="1" applyAlignment="1">
      <alignment horizontal="center"/>
    </xf>
    <xf numFmtId="0" fontId="8" fillId="0" borderId="0" xfId="0" applyFont="1"/>
    <xf numFmtId="164" fontId="0" fillId="0" borderId="0" xfId="1" applyFont="1"/>
    <xf numFmtId="16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166" fontId="4" fillId="4" borderId="1" xfId="1" applyNumberFormat="1" applyFont="1" applyFill="1" applyBorder="1" applyAlignment="1">
      <alignment horizontal="center" vertical="center"/>
    </xf>
    <xf numFmtId="9" fontId="4" fillId="4" borderId="1" xfId="2" applyFont="1" applyFill="1" applyBorder="1" applyAlignment="1">
      <alignment horizontal="center" vertical="center"/>
    </xf>
    <xf numFmtId="166" fontId="4" fillId="5" borderId="1" xfId="1" applyNumberFormat="1" applyFont="1" applyFill="1" applyBorder="1" applyAlignment="1">
      <alignment horizontal="center" vertical="center"/>
    </xf>
    <xf numFmtId="9" fontId="4" fillId="5" borderId="1" xfId="2" applyFont="1" applyFill="1" applyBorder="1" applyAlignment="1">
      <alignment horizontal="center" vertical="center"/>
    </xf>
    <xf numFmtId="166" fontId="4" fillId="6" borderId="1" xfId="1" applyNumberFormat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1" applyNumberFormat="1" applyFont="1" applyFill="1" applyBorder="1" applyAlignment="1">
      <alignment horizontal="center" vertical="center"/>
    </xf>
    <xf numFmtId="0" fontId="4" fillId="5" borderId="1" xfId="1" applyNumberFormat="1" applyFont="1" applyFill="1" applyBorder="1" applyAlignment="1">
      <alignment horizontal="center" vertical="center"/>
    </xf>
    <xf numFmtId="0" fontId="4" fillId="6" borderId="1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7" fontId="0" fillId="0" borderId="0" xfId="0" applyNumberFormat="1"/>
    <xf numFmtId="37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166" fontId="23" fillId="0" borderId="0" xfId="1" applyNumberFormat="1" applyFont="1"/>
    <xf numFmtId="1" fontId="0" fillId="0" borderId="0" xfId="0" applyNumberFormat="1" applyAlignment="1">
      <alignment horizontal="left"/>
    </xf>
    <xf numFmtId="166" fontId="4" fillId="0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wrapText="1"/>
    </xf>
    <xf numFmtId="166" fontId="0" fillId="0" borderId="1" xfId="1" applyNumberFormat="1" applyFont="1" applyBorder="1" applyAlignment="1">
      <alignment horizontal="center"/>
    </xf>
    <xf numFmtId="164" fontId="23" fillId="0" borderId="0" xfId="1" applyFont="1"/>
    <xf numFmtId="168" fontId="0" fillId="0" borderId="0" xfId="0" applyNumberFormat="1"/>
    <xf numFmtId="1" fontId="2" fillId="2" borderId="0" xfId="1" applyNumberFormat="1" applyFont="1" applyFill="1" applyAlignment="1">
      <alignment horizontal="center"/>
    </xf>
    <xf numFmtId="1" fontId="4" fillId="4" borderId="1" xfId="1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64" fontId="0" fillId="0" borderId="0" xfId="1" applyFont="1" applyAlignment="1">
      <alignment horizontal="center" vertical="center"/>
    </xf>
    <xf numFmtId="164" fontId="0" fillId="0" borderId="0" xfId="1" applyFont="1" applyAlignment="1">
      <alignment horizontal="left"/>
    </xf>
    <xf numFmtId="166" fontId="0" fillId="0" borderId="12" xfId="1" applyNumberFormat="1" applyFont="1" applyBorder="1"/>
    <xf numFmtId="0" fontId="0" fillId="0" borderId="0" xfId="0" pivotButton="1"/>
    <xf numFmtId="0" fontId="0" fillId="0" borderId="0" xfId="0" applyAlignment="1">
      <alignment horizontal="right"/>
    </xf>
    <xf numFmtId="3" fontId="0" fillId="0" borderId="0" xfId="0" applyNumberFormat="1"/>
    <xf numFmtId="166" fontId="0" fillId="0" borderId="0" xfId="0" applyNumberFormat="1" applyAlignment="1">
      <alignment horizontal="center"/>
    </xf>
  </cellXfs>
  <cellStyles count="55">
    <cellStyle name="20% - تمييز1" xfId="25" builtinId="30" customBuiltin="1"/>
    <cellStyle name="20% - تمييز2" xfId="29" builtinId="34" customBuiltin="1"/>
    <cellStyle name="20% - تمييز3" xfId="33" builtinId="38" customBuiltin="1"/>
    <cellStyle name="20% - تمييز4" xfId="37" builtinId="42" customBuiltin="1"/>
    <cellStyle name="20% - تمييز5" xfId="41" builtinId="46" customBuiltin="1"/>
    <cellStyle name="20% - تمييز6" xfId="45" builtinId="50" customBuiltin="1"/>
    <cellStyle name="40% - تمييز1" xfId="26" builtinId="31" customBuiltin="1"/>
    <cellStyle name="40% - تمييز2" xfId="30" builtinId="35" customBuiltin="1"/>
    <cellStyle name="40% - تمييز3" xfId="34" builtinId="39" customBuiltin="1"/>
    <cellStyle name="40% - تمييز4" xfId="38" builtinId="43" customBuiltin="1"/>
    <cellStyle name="40% - تمييز5" xfId="42" builtinId="47" customBuiltin="1"/>
    <cellStyle name="40% - تمييز6" xfId="46" builtinId="51" customBuiltin="1"/>
    <cellStyle name="60% - تمييز1" xfId="27" builtinId="32" customBuiltin="1"/>
    <cellStyle name="60% - تمييز2" xfId="31" builtinId="36" customBuiltin="1"/>
    <cellStyle name="60% - تمييز3" xfId="35" builtinId="40" customBuiltin="1"/>
    <cellStyle name="60% - تمييز4" xfId="39" builtinId="44" customBuiltin="1"/>
    <cellStyle name="60% - تمييز5" xfId="43" builtinId="48" customBuiltin="1"/>
    <cellStyle name="60% - تمييز6" xfId="47" builtinId="52" customBuiltin="1"/>
    <cellStyle name="Comma" xfId="1" builtinId="3"/>
    <cellStyle name="Comma 2" xfId="3" xr:uid="{364ACDF1-B581-4442-B582-E62B50861EC6}"/>
    <cellStyle name="Comma 2 2" xfId="6" xr:uid="{F9C902E6-D9F9-45F3-9434-CC99BF69F684}"/>
    <cellStyle name="Comma 2 3" xfId="52" xr:uid="{53CD9626-FC8D-4D4A-87E9-5023600AA552}"/>
    <cellStyle name="Comma 2 4" xfId="49" xr:uid="{684FC7B8-4A9A-44C7-815B-4EF2FCFF6847}"/>
    <cellStyle name="Comma 3" xfId="51" xr:uid="{352BA68A-8555-4619-B508-E4E391801038}"/>
    <cellStyle name="Normal 2" xfId="4" xr:uid="{F336F125-7FEC-4EE7-BCE4-7E5F238C12FA}"/>
    <cellStyle name="Normal 2 2" xfId="53" xr:uid="{F8EFCF9D-FC24-44F2-88DB-DD9818A6AF01}"/>
    <cellStyle name="Normal 2 3" xfId="48" xr:uid="{C6901A16-0103-4DB4-B7F8-02C97762A3C5}"/>
    <cellStyle name="Normal 3" xfId="5" xr:uid="{DBBAB3B2-6609-4452-8D8D-049EACC2A3FF}"/>
    <cellStyle name="Normal 3 2" xfId="54" xr:uid="{4871D003-1145-46D6-85B0-D92B0E6210CE}"/>
    <cellStyle name="Normal 3 3" xfId="50" xr:uid="{8F4A6112-58C3-49DE-A4D9-9172F0E1535B}"/>
    <cellStyle name="Percent" xfId="2" builtinId="5"/>
    <cellStyle name="إخراج" xfId="16" builtinId="21" customBuiltin="1"/>
    <cellStyle name="إدخال" xfId="15" builtinId="20" customBuiltin="1"/>
    <cellStyle name="الإجمالي" xfId="23" builtinId="25" customBuiltin="1"/>
    <cellStyle name="تمييز1" xfId="24" builtinId="29" customBuiltin="1"/>
    <cellStyle name="تمييز2" xfId="28" builtinId="33" customBuiltin="1"/>
    <cellStyle name="تمييز3" xfId="32" builtinId="37" customBuiltin="1"/>
    <cellStyle name="تمييز4" xfId="36" builtinId="41" customBuiltin="1"/>
    <cellStyle name="تمييز5" xfId="40" builtinId="45" customBuiltin="1"/>
    <cellStyle name="تمييز6" xfId="44" builtinId="49" customBuiltin="1"/>
    <cellStyle name="جيد" xfId="12" builtinId="26" customBuiltin="1"/>
    <cellStyle name="حساب" xfId="17" builtinId="22" customBuiltin="1"/>
    <cellStyle name="خلية تدقيق" xfId="19" builtinId="23" customBuiltin="1"/>
    <cellStyle name="خلية مرتبطة" xfId="18" builtinId="24" customBuiltin="1"/>
    <cellStyle name="سيئ" xfId="13" builtinId="27" customBuiltin="1"/>
    <cellStyle name="عادي" xfId="0" builtinId="0"/>
    <cellStyle name="عنوان" xfId="7" builtinId="15" customBuiltin="1"/>
    <cellStyle name="عنوان 1" xfId="8" builtinId="16" customBuiltin="1"/>
    <cellStyle name="عنوان 2" xfId="9" builtinId="17" customBuiltin="1"/>
    <cellStyle name="عنوان 3" xfId="10" builtinId="18" customBuiltin="1"/>
    <cellStyle name="عنوان 4" xfId="11" builtinId="19" customBuiltin="1"/>
    <cellStyle name="محايد" xfId="14" builtinId="28" customBuiltin="1"/>
    <cellStyle name="ملاحظة" xfId="21" builtinId="10" customBuiltin="1"/>
    <cellStyle name="نص تحذير" xfId="20" builtinId="11" customBuiltin="1"/>
    <cellStyle name="نص توضيحي" xfId="22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1605;&#1585;&#1575;&#1602;&#1576;&#1577;%20&#1575;&#1604;&#1573;&#1610;&#1585;&#1575;&#1583;&#1575;&#1578;/&#1605;&#1585;&#1575;&#1602;&#1576;&#1577;%20&#1575;&#1604;&#1573;&#1610;&#1585;&#1575;&#1583;&#1575;&#1578;%20&#1575;&#1604;&#1601;&#1593;&#1604;&#1610;&#1577;/2026/test&#1605;&#1585;&#1575;&#1602;&#1576;&#1577;%20&#1575;&#1604;&#1573;&#1610;&#1585;&#1575;&#1583;&#1575;&#1578;%20&#1604;&#1605;&#1583;&#1610;&#1606;&#1577;%20&#1575;&#1604;&#1585;&#1610;&#1575;&#1590;%20(2026).xlsx" TargetMode="External"/><Relationship Id="rId1" Type="http://schemas.openxmlformats.org/officeDocument/2006/relationships/externalLinkPath" Target="/9c6b852a9f8e3b1d/&#1587;&#1591;&#1581;%20&#1575;&#1604;&#1605;&#1603;&#1578;&#1576;/&#1578;&#1582;&#1591;&#1610;&#1591;%20&#1608;&#1605;&#1585;&#1575;&#1602;&#1576;&#1577;%20&#1575;&#1604;&#1573;&#1610;&#1585;&#1575;&#1583;&#1575;&#1578;/&#1605;&#1585;&#1575;&#1602;&#1576;&#1577;%20&#1575;&#1604;&#1573;&#1610;&#1585;&#1575;&#1583;&#1575;&#1578;/&#1605;&#1585;&#1575;&#1602;&#1576;&#1577;%20&#1575;&#1604;&#1573;&#1610;&#1585;&#1575;&#1583;&#1575;&#1578;%20&#1575;&#1604;&#1601;&#1593;&#1604;&#1610;&#1577;/2026/test&#1605;&#1585;&#1575;&#1602;&#1576;&#1577;%20&#1575;&#1604;&#1573;&#1610;&#1585;&#1575;&#1583;&#1575;&#1578;%20&#1604;&#1605;&#1583;&#1610;&#1606;&#1577;%20&#1575;&#1604;&#1585;&#1610;&#1575;&#1590;%20(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الإعدادت"/>
      <sheetName val="المقدر 2025"/>
      <sheetName val="Sheet4"/>
      <sheetName val="Sheet3"/>
      <sheetName val="Sheet1"/>
      <sheetName val="الحوافز"/>
      <sheetName val="بيفت المقدر"/>
      <sheetName val="المقدر"/>
      <sheetName val="بيفت المستهدف"/>
      <sheetName val="المستهدف 2026"/>
      <sheetName val="الشارت الشهري"/>
      <sheetName val="نسب المستهدف 2025"/>
      <sheetName val="بيفت فبراير"/>
      <sheetName val="يناير"/>
      <sheetName val="فبراير"/>
      <sheetName val="بيفت مارس"/>
      <sheetName val="بيفت أبريل"/>
      <sheetName val="بيفت مايو "/>
      <sheetName val="بيفت يونيو"/>
      <sheetName val="بيفت يوليو"/>
      <sheetName val="بيفت أغسطس"/>
      <sheetName val="بيفت سبتمبر"/>
      <sheetName val="بيفت أكتوبر"/>
      <sheetName val="بيفت نوفمبر"/>
      <sheetName val="بيفت ديسمبر"/>
      <sheetName val="مارس"/>
      <sheetName val="أبريل"/>
      <sheetName val="مايو"/>
      <sheetName val="يونيو"/>
      <sheetName val="بيفت MARS"/>
      <sheetName val="يوليو"/>
      <sheetName val="أغسطس"/>
      <sheetName val="الإجمالي"/>
      <sheetName val="ورقة1"/>
      <sheetName val="Sheet5"/>
      <sheetName val="بيفت الإجمالي"/>
      <sheetName val="إجمالي السنة"/>
      <sheetName val="بيفت إجمالي السن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5">
          <cell r="C25">
            <v>423987000.44999999</v>
          </cell>
          <cell r="D25">
            <v>426158003.68540996</v>
          </cell>
        </row>
        <row r="26">
          <cell r="C26">
            <v>60697628.700000003</v>
          </cell>
          <cell r="D26">
            <v>72532529.683733717</v>
          </cell>
        </row>
        <row r="27">
          <cell r="C27">
            <v>30409276.780000001</v>
          </cell>
          <cell r="D27">
            <v>36279740.619000003</v>
          </cell>
        </row>
        <row r="28">
          <cell r="C28">
            <v>25865420.210000001</v>
          </cell>
          <cell r="D28">
            <v>27885451.828266039</v>
          </cell>
        </row>
        <row r="29">
          <cell r="C29">
            <v>333333</v>
          </cell>
          <cell r="D29">
            <v>541666.54166666663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فيصل خالد عبدالرحمن العتيق" refreshedDate="46303.581476851854" createdVersion="7" refreshedVersion="7" minRefreshableVersion="3" recordCount="199" xr:uid="{C4259839-7AB4-4635-9472-929AF9D9C1A3}">
  <cacheSource type="worksheet">
    <worksheetSource ref="C1:E1048576" sheet="مفوتر تبويبات الوزارة"/>
  </cacheSource>
  <cacheFields count="3">
    <cacheField name="التبويب" numFmtId="0">
      <sharedItems containsBlank="1" count="7">
        <s v="إيرادات رسم إشغال مرافق الإيواء"/>
        <s v="إيرادات الرسوم والمقابلات المالية"/>
        <s v="الإيرادات المختلفة"/>
        <s v="إيرادات الجزاءات والغرامات"/>
        <s v="إيرادات استثمار العقارات البلدية"/>
        <s v="إيرادات رسم تقديم منتجات التبغ"/>
        <m/>
      </sharedItems>
    </cacheField>
    <cacheField name="البند" numFmtId="0">
      <sharedItems containsBlank="1"/>
    </cacheField>
    <cacheField name="المفوتر" numFmtId="0">
      <sharedItems containsString="0" containsBlank="1" containsNumber="1" minValue="0" maxValue="552380316.78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s v="إشغال الفنادق والشقق المفروشة والمنتجعات السياحية"/>
    <n v="22331040.419999998"/>
  </r>
  <r>
    <x v="1"/>
    <s v="إصد ارالتراخيص بتأسيس أو تشغيل أبراج الاتصالات"/>
    <n v="110700"/>
  </r>
  <r>
    <x v="1"/>
    <s v="إصدار التراخيص بتأسيس أو تشغيل الصراف الآلي"/>
    <n v="26000"/>
  </r>
  <r>
    <x v="1"/>
    <s v="إصدار الشهادات الصحية"/>
    <n v="3237945.75"/>
  </r>
  <r>
    <x v="1"/>
    <s v="إصدار القرارات المساحية وفرز الأراضي والعقارات والوحدات السكنية وتجزئتها"/>
    <n v="3009992.24"/>
  </r>
  <r>
    <x v="1"/>
    <s v="إصدار تراخيص استخدام أملاك خاصة لإقامة فعاليات"/>
    <n v="13075.49"/>
  </r>
  <r>
    <x v="1"/>
    <s v="إصدار تراخيص إشغال الأرصفة العامة والطرق"/>
    <n v="567489.57999999996"/>
  </r>
  <r>
    <x v="1"/>
    <s v="إصدار تراخيص الإنشاء وترميم والهدم"/>
    <n v="29609804.729999997"/>
  </r>
  <r>
    <x v="1"/>
    <s v="إصدار تراخيص حفر الشوارع"/>
    <n v="0"/>
  </r>
  <r>
    <x v="1"/>
    <s v="إصدار رخص الأنشطة التجارية"/>
    <n v="27947453.700000003"/>
  </r>
  <r>
    <x v="1"/>
    <s v="اعتماد مخططات التطوير العقاري"/>
    <n v="0"/>
  </r>
  <r>
    <x v="2"/>
    <s v="الإيرادات المختلفة"/>
    <n v="228922768.88"/>
  </r>
  <r>
    <x v="1"/>
    <s v="المقابل المالي للسماح للأنشطة التجارية بالعمل 24 ساعة"/>
    <n v="1072764.18"/>
  </r>
  <r>
    <x v="3"/>
    <s v="إيرادات الجزاءات والغرامات"/>
    <n v="93668318.640000001"/>
  </r>
  <r>
    <x v="1"/>
    <s v="إيرادات رسوم اللوحات الإرشادية والمحلات"/>
    <n v="20032253.199999999"/>
  </r>
  <r>
    <x v="1"/>
    <s v="إيرادات رسوم اللوحات الدعائية والإعلانية"/>
    <n v="17631305.559999999"/>
  </r>
  <r>
    <x v="4"/>
    <s v="تأجير العقارات"/>
    <n v="123542457.16"/>
  </r>
  <r>
    <x v="4"/>
    <s v="تأجير العقارات لأغراض مؤقته"/>
    <n v="106288.9"/>
  </r>
  <r>
    <x v="1"/>
    <s v="جمع النفايات التجارية"/>
    <n v="10005509.16"/>
  </r>
  <r>
    <x v="1"/>
    <s v="رسم المعاينة والكشفية"/>
    <n v="739406.2"/>
  </r>
  <r>
    <x v="5"/>
    <s v="رسم ترخيص نشاط تقديم منتجات التبغ"/>
    <n v="1591995.41"/>
  </r>
  <r>
    <x v="5"/>
    <s v="رسم مبيعات محلات تقديم منتجات التبغ"/>
    <n v="8511500.0300000012"/>
  </r>
  <r>
    <x v="0"/>
    <s v="إشغال الفنادق والشقق المفروشة والمنتجعات السياحية"/>
    <n v="24270021.620000001"/>
  </r>
  <r>
    <x v="1"/>
    <s v="إصد ارالتراخيص بتأسيس أو تشغيل أبراج الاتصالات"/>
    <n v="149400"/>
  </r>
  <r>
    <x v="1"/>
    <s v="إصدار التراخيص بتأسيس أو تشغيل الصراف الآلي"/>
    <n v="22000"/>
  </r>
  <r>
    <x v="1"/>
    <s v="إصدار الشهادات الصحية"/>
    <n v="2457009.92"/>
  </r>
  <r>
    <x v="1"/>
    <s v="إصدار القرارات المساحية وفرز الأراضي والعقارات والوحدات السكنية وتجزئتها"/>
    <n v="2532321.2799999998"/>
  </r>
  <r>
    <x v="1"/>
    <s v="إصدار تراخيص استخدام أملاك خاصة لإقامة فعاليات"/>
    <n v="244946.04"/>
  </r>
  <r>
    <x v="1"/>
    <s v="إصدار تراخيص إشغال الأرصفة العامة والطرق"/>
    <n v="320162.39"/>
  </r>
  <r>
    <x v="1"/>
    <s v="إصدار تراخيص الإنشاء وترميم والهدم"/>
    <n v="30007041.18"/>
  </r>
  <r>
    <x v="1"/>
    <s v="إصدار تراخيص حفر الشوارع"/>
    <n v="0"/>
  </r>
  <r>
    <x v="1"/>
    <s v="إصدار رخص الأنشطة التجارية"/>
    <n v="23098071.170000002"/>
  </r>
  <r>
    <x v="1"/>
    <s v="اعتماد مخططات التطوير العقاري"/>
    <n v="0"/>
  </r>
  <r>
    <x v="2"/>
    <s v="الإيرادات المختلفة"/>
    <n v="2227941.4299999997"/>
  </r>
  <r>
    <x v="1"/>
    <s v="المقابل المالي للسماح للأنشطة التجارية بالعمل 24 ساعة"/>
    <n v="754028.35"/>
  </r>
  <r>
    <x v="3"/>
    <s v="إيرادات الجزاءات والغرامات"/>
    <n v="111627840.53999999"/>
  </r>
  <r>
    <x v="1"/>
    <s v="إيرادات رسوم اللوحات الإرشادية والمحلات"/>
    <n v="15924107.309999999"/>
  </r>
  <r>
    <x v="1"/>
    <s v="إيرادات رسوم اللوحات الدعائية والإعلانية"/>
    <n v="7707285.9500000002"/>
  </r>
  <r>
    <x v="4"/>
    <s v="تأجير العقارات"/>
    <n v="96452373.960000008"/>
  </r>
  <r>
    <x v="4"/>
    <s v="تأجير العقارات لأغراض مؤقته"/>
    <n v="376299.92"/>
  </r>
  <r>
    <x v="1"/>
    <s v="جمع النفايات التجارية"/>
    <n v="7734749.7200000007"/>
  </r>
  <r>
    <x v="1"/>
    <s v="رسم المعاينة والكشفية"/>
    <n v="584710"/>
  </r>
  <r>
    <x v="5"/>
    <s v="رسم ترخيص نشاط تقديم منتجات التبغ"/>
    <n v="1460000"/>
  </r>
  <r>
    <x v="5"/>
    <s v="رسم مبيعات محلات تقديم منتجات التبغ"/>
    <n v="8133872.4899999993"/>
  </r>
  <r>
    <x v="0"/>
    <s v="إشغال الفنادق والشقق المفروشة والمنتجعات السياحية"/>
    <n v="21790048.300000001"/>
  </r>
  <r>
    <x v="1"/>
    <s v="إصد ارالتراخيص بتأسيس أو تشغيل أبراج الاتصالات"/>
    <n v="16200"/>
  </r>
  <r>
    <x v="1"/>
    <s v="إصدار التراخيص بتأسيس أو تشغيل الصراف الآلي"/>
    <n v="6000"/>
  </r>
  <r>
    <x v="1"/>
    <s v="إصدار الشهادات الصحية"/>
    <n v="1812717.6"/>
  </r>
  <r>
    <x v="1"/>
    <s v="إصدار القرارات المساحية وفرز الأراضي والعقارات والوحدات السكنية وتجزئتها"/>
    <n v="2227575"/>
  </r>
  <r>
    <x v="1"/>
    <s v="إصدار تراخيص استخدام أملاك خاصة لإقامة فعاليات"/>
    <n v="48095.48"/>
  </r>
  <r>
    <x v="1"/>
    <s v="إصدار تراخيص إشغال الأرصفة العامة والطرق"/>
    <n v="334465.09000000003"/>
  </r>
  <r>
    <x v="1"/>
    <s v="إصدار تراخيص الإنشاء وترميم والهدم"/>
    <n v="16811188.920000002"/>
  </r>
  <r>
    <x v="1"/>
    <s v="إصدار تراخيص حفر الشوارع"/>
    <n v="0"/>
  </r>
  <r>
    <x v="1"/>
    <s v="إصدار رخص الأنشطة التجارية"/>
    <n v="19214026.73"/>
  </r>
  <r>
    <x v="1"/>
    <s v="اعتماد مخططات التطوير العقاري"/>
    <n v="0"/>
  </r>
  <r>
    <x v="2"/>
    <s v="الإيرادات المختلفة"/>
    <n v="17189594.199999999"/>
  </r>
  <r>
    <x v="1"/>
    <s v="المقابل المالي للسماح للأنشطة التجارية بالعمل 24 ساعة"/>
    <n v="419901.27999999997"/>
  </r>
  <r>
    <x v="3"/>
    <s v="إيرادات الجزاءات والغرامات"/>
    <n v="95218883.569999993"/>
  </r>
  <r>
    <x v="1"/>
    <s v="إيرادات رسوم اللوحات الإرشادية والمحلات"/>
    <n v="14652478.439999999"/>
  </r>
  <r>
    <x v="1"/>
    <s v="إيرادات رسوم اللوحات الدعائية والإعلانية"/>
    <n v="4090374.27"/>
  </r>
  <r>
    <x v="4"/>
    <s v="تأجير العقارات"/>
    <n v="53545789.43"/>
  </r>
  <r>
    <x v="4"/>
    <s v="تأجير العقارات لأغراض مؤقته"/>
    <n v="18538.7"/>
  </r>
  <r>
    <x v="1"/>
    <s v="جمع النفايات التجارية"/>
    <n v="6742949.4000000004"/>
  </r>
  <r>
    <x v="1"/>
    <s v="رسم المعاينة والكشفية"/>
    <n v="514472.4"/>
  </r>
  <r>
    <x v="5"/>
    <s v="رسم ترخيص نشاط تقديم منتجات التبغ"/>
    <n v="1458287.66"/>
  </r>
  <r>
    <x v="5"/>
    <s v="رسم مبيعات محلات تقديم منتجات التبغ"/>
    <n v="7038416.6900000004"/>
  </r>
  <r>
    <x v="0"/>
    <s v="إشغال الفنادق والشقق المفروشة والمنتجعات السياحية"/>
    <n v="10851541.75"/>
  </r>
  <r>
    <x v="1"/>
    <s v="إصد ارالتراخيص بتأسيس أو تشغيل أبراج الاتصالات"/>
    <n v="41900"/>
  </r>
  <r>
    <x v="1"/>
    <s v="إصدار التراخيص بتأسيس أو تشغيل الصراف الآلي"/>
    <n v="8611.09"/>
  </r>
  <r>
    <x v="1"/>
    <s v="إصدار الشهادات الصحية"/>
    <n v="2129466.2600000002"/>
  </r>
  <r>
    <x v="1"/>
    <s v="إصدار القرارات المساحية وفرز الأراضي والعقارات والوحدات السكنية وتجزئتها"/>
    <n v="2408942.33"/>
  </r>
  <r>
    <x v="1"/>
    <s v="إصدار تراخيص استخدام أملاك خاصة لإقامة فعاليات"/>
    <n v="44960.02"/>
  </r>
  <r>
    <x v="1"/>
    <s v="إصدار تراخيص إشغال الأرصفة العامة والطرق"/>
    <n v="466593.5"/>
  </r>
  <r>
    <x v="1"/>
    <s v="إصدار تراخيص الإنشاء وترميم والهدم"/>
    <n v="25867823.800000001"/>
  </r>
  <r>
    <x v="1"/>
    <s v="إصدار تراخيص حفر الشوارع"/>
    <n v="0"/>
  </r>
  <r>
    <x v="1"/>
    <s v="إصدار رخص الأنشطة التجارية"/>
    <n v="39949897.32"/>
  </r>
  <r>
    <x v="1"/>
    <s v="اعتماد مخططات التطوير العقاري"/>
    <n v="50"/>
  </r>
  <r>
    <x v="2"/>
    <s v="الإيرادات المختلفة"/>
    <n v="38463562.350000001"/>
  </r>
  <r>
    <x v="1"/>
    <s v="المقابل المالي للسماح للأنشطة التجارية بالعمل 24 ساعة"/>
    <n v="1286950.07"/>
  </r>
  <r>
    <x v="3"/>
    <s v="إيرادات الجزاءات والغرامات"/>
    <n v="123971275.16"/>
  </r>
  <r>
    <x v="1"/>
    <s v="إيرادات رسوم اللوحات الإرشادية والمحلات"/>
    <n v="25284831.509999998"/>
  </r>
  <r>
    <x v="1"/>
    <s v="إيرادات رسوم اللوحات الدعائية والإعلانية"/>
    <n v="42277040.880000003"/>
  </r>
  <r>
    <x v="4"/>
    <s v="تأجير العقارات"/>
    <n v="552380316.78999996"/>
  </r>
  <r>
    <x v="4"/>
    <s v="تأجير العقارات لأغراض مؤقته"/>
    <n v="20576.310000000001"/>
  </r>
  <r>
    <x v="1"/>
    <s v="جمع النفايات التجارية"/>
    <n v="11325387.330000002"/>
  </r>
  <r>
    <x v="1"/>
    <s v="رسم المعاينة والكشفية"/>
    <n v="862146.37000000011"/>
  </r>
  <r>
    <x v="5"/>
    <s v="رسم ترخيص نشاط تقديم منتجات التبغ"/>
    <n v="2071055.77"/>
  </r>
  <r>
    <x v="5"/>
    <s v="رسم مبيعات محلات تقديم منتجات التبغ"/>
    <n v="7913949.4500000002"/>
  </r>
  <r>
    <x v="0"/>
    <s v="إشغال الفنادق والشقق المفروشة والمنتجعات السياحية"/>
    <n v="11048213.439999999"/>
  </r>
  <r>
    <x v="1"/>
    <s v="إصد ارالتراخيص بتأسيس أو تشغيل أبراج الاتصالات"/>
    <n v="5600"/>
  </r>
  <r>
    <x v="1"/>
    <s v="إصدار التراخيص بتأسيس أو تشغيل الصراف الآلي"/>
    <n v="13000"/>
  </r>
  <r>
    <x v="1"/>
    <s v="إصدار الشهادات الصحية"/>
    <n v="2283001.56"/>
  </r>
  <r>
    <x v="1"/>
    <s v="إصدار القرارات المساحية وفرز الأراضي والعقارات والوحدات السكنية وتجزئتها"/>
    <n v="4609543.96"/>
  </r>
  <r>
    <x v="1"/>
    <s v="إصدار تراخيص استخدام أملاك خاصة لإقامة فعاليات"/>
    <n v="33270.74"/>
  </r>
  <r>
    <x v="1"/>
    <s v="إصدار تراخيص إشغال الأرصفة العامة والطرق"/>
    <n v="343507.38"/>
  </r>
  <r>
    <x v="1"/>
    <s v="إصدار تراخيص الإنشاء وترميم والهدم"/>
    <n v="13316365.01"/>
  </r>
  <r>
    <x v="1"/>
    <s v="إصدار تراخيص حفر الشوارع"/>
    <n v="1350"/>
  </r>
  <r>
    <x v="1"/>
    <s v="إصدار رخص الأنشطة التجارية"/>
    <n v="22451255.5"/>
  </r>
  <r>
    <x v="1"/>
    <s v="اعتماد مخططات التطوير العقاري"/>
    <n v="50"/>
  </r>
  <r>
    <x v="2"/>
    <s v="الإيرادات المختلفة"/>
    <n v="2588883.8299999996"/>
  </r>
  <r>
    <x v="1"/>
    <s v="المقابل المالي للسماح للأنشطة التجارية بالعمل 24 ساعة"/>
    <n v="901912.87"/>
  </r>
  <r>
    <x v="3"/>
    <s v="إيرادات الجزاءات والغرامات"/>
    <n v="102133927"/>
  </r>
  <r>
    <x v="1"/>
    <s v="إيرادات رسوم اللوحات الإرشادية والمحلات"/>
    <n v="15959466.640000001"/>
  </r>
  <r>
    <x v="1"/>
    <s v="إيرادات رسوم اللوحات الدعائية والإعلانية"/>
    <n v="6533113.1799999997"/>
  </r>
  <r>
    <x v="4"/>
    <s v="تأجير العقارات"/>
    <n v="90921311.590000004"/>
  </r>
  <r>
    <x v="4"/>
    <s v="تأجير العقارات لأغراض مؤقته"/>
    <n v="34169.9"/>
  </r>
  <r>
    <x v="1"/>
    <s v="جمع النفايات التجارية"/>
    <n v="6199874.8799999999"/>
  </r>
  <r>
    <x v="1"/>
    <s v="رسم المعاينة والكشفية"/>
    <n v="601091"/>
  </r>
  <r>
    <x v="5"/>
    <s v="رسم ترخيص نشاط تقديم منتجات التبغ"/>
    <n v="1411369.86"/>
  </r>
  <r>
    <x v="5"/>
    <s v="رسم مبيعات محلات تقديم منتجات التبغ"/>
    <n v="8185945.2599999998"/>
  </r>
  <r>
    <x v="0"/>
    <s v="إشغال الفنادق والشقق المفروشة والمنتجعات السياحية"/>
    <n v="12996664.18"/>
  </r>
  <r>
    <x v="1"/>
    <s v="إصد ارالتراخيص بتأسيس أو تشغيل أبراج الاتصالات"/>
    <n v="24400"/>
  </r>
  <r>
    <x v="1"/>
    <s v="إصدار التراخيص بتأسيس أو تشغيل الصراف الآلي"/>
    <n v="11000"/>
  </r>
  <r>
    <x v="1"/>
    <s v="إصدار الشهادات الصحية"/>
    <n v="2206572.2999999998"/>
  </r>
  <r>
    <x v="1"/>
    <s v="إصدار القرارات المساحية وفرز الأراضي والعقارات والوحدات السكنية وتجزئتها"/>
    <n v="2563434.73"/>
  </r>
  <r>
    <x v="1"/>
    <s v="إصدار تراخيص استخدام أملاك خاصة لإقامة فعاليات"/>
    <n v="101996.28"/>
  </r>
  <r>
    <x v="1"/>
    <s v="إصدار تراخيص إشغال الأرصفة العامة والطرق"/>
    <n v="356725.06"/>
  </r>
  <r>
    <x v="1"/>
    <s v="إصدار تراخيص الإنشاء وترميم والهدم"/>
    <n v="17199822.07"/>
  </r>
  <r>
    <x v="1"/>
    <s v="إصدار تراخيص حفر الشوارع"/>
    <n v="0"/>
  </r>
  <r>
    <x v="1"/>
    <s v="إصدار رخص الأنشطة التجارية"/>
    <n v="30023341"/>
  </r>
  <r>
    <x v="1"/>
    <s v="اعتماد مخططات التطوير العقاري"/>
    <n v="0"/>
  </r>
  <r>
    <x v="2"/>
    <s v="الإيرادات المختلفة"/>
    <n v="57407614.939999998"/>
  </r>
  <r>
    <x v="1"/>
    <s v="المقابل المالي للسماح للأنشطة التجارية بالعمل 24 ساعة"/>
    <n v="1148520.1599999999"/>
  </r>
  <r>
    <x v="3"/>
    <s v="إيرادات الجزاءات والغرامات"/>
    <n v="126338778.05"/>
  </r>
  <r>
    <x v="1"/>
    <s v="إيرادات رسوم اللوحات الإرشادية والمحلات"/>
    <n v="20844208.140000001"/>
  </r>
  <r>
    <x v="1"/>
    <s v="إيرادات رسوم اللوحات الدعائية والإعلانية"/>
    <n v="26465065.800000001"/>
  </r>
  <r>
    <x v="4"/>
    <s v="تأجير العقارات"/>
    <n v="96872816.769999996"/>
  </r>
  <r>
    <x v="4"/>
    <s v="تأجير العقارات لأغراض مؤقته"/>
    <n v="144603.56"/>
  </r>
  <r>
    <x v="1"/>
    <s v="جمع النفايات التجارية"/>
    <n v="8230717.1600000001"/>
  </r>
  <r>
    <x v="1"/>
    <s v="رسم المعاينة والكشفية"/>
    <n v="614440"/>
  </r>
  <r>
    <x v="5"/>
    <s v="رسم ترخيص نشاط تقديم منتجات التبغ"/>
    <n v="2137602.73"/>
  </r>
  <r>
    <x v="5"/>
    <s v="رسم مبيعات محلات تقديم منتجات التبغ"/>
    <n v="8738636.6699999999"/>
  </r>
  <r>
    <x v="0"/>
    <s v="إشغال الفنادق والشقق المفروشة والمنتجعات السياحية"/>
    <n v="11767679.550000001"/>
  </r>
  <r>
    <x v="1"/>
    <s v="إصد ارالتراخيص بتأسيس أو تشغيل أبراج الاتصالات"/>
    <n v="98700"/>
  </r>
  <r>
    <x v="1"/>
    <s v="إصدار التراخيص بتأسيس أو تشغيل الصراف الآلي"/>
    <n v="5000"/>
  </r>
  <r>
    <x v="1"/>
    <s v="إصدار الشهادات الصحية"/>
    <n v="2579771.61"/>
  </r>
  <r>
    <x v="1"/>
    <s v="إصدار القرارات المساحية وفرز الأراضي والعقارات والوحدات السكنية وتجزئتها"/>
    <n v="5899971.0999999996"/>
  </r>
  <r>
    <x v="1"/>
    <s v="إصدار تراخيص استخدام أملاك خاصة لإقامة فعاليات"/>
    <n v="13498.99"/>
  </r>
  <r>
    <x v="1"/>
    <s v="إصدار تراخيص إشغال الأرصفة العامة والطرق"/>
    <n v="427315.72"/>
  </r>
  <r>
    <x v="1"/>
    <s v="إصدار تراخيص الإنشاء وترميم والهدم"/>
    <n v="21130887.41"/>
  </r>
  <r>
    <x v="1"/>
    <s v="إصدار تراخيص حفر الشوارع"/>
    <n v="0"/>
  </r>
  <r>
    <x v="1"/>
    <s v="إصدار رخص الأنشطة التجارية"/>
    <n v="32755611.379999999"/>
  </r>
  <r>
    <x v="1"/>
    <s v="اعتماد مخططات التطوير العقاري"/>
    <n v="0"/>
  </r>
  <r>
    <x v="2"/>
    <s v="الإيرادات المختلفة"/>
    <n v="67403504"/>
  </r>
  <r>
    <x v="1"/>
    <s v="المقابل المالي للسماح للأنشطة التجارية بالعمل 24 ساعة"/>
    <n v="2150189.3199999998"/>
  </r>
  <r>
    <x v="3"/>
    <s v="إيرادات الجزاءات والغرامات"/>
    <n v="146124093.26999998"/>
  </r>
  <r>
    <x v="1"/>
    <s v="إيرادات رسوم اللوحات الإرشادية والمحلات"/>
    <n v="22825922.170000002"/>
  </r>
  <r>
    <x v="1"/>
    <s v="إيرادات رسوم اللوحات الدعائية والإعلانية"/>
    <n v="7133554.3300000001"/>
  </r>
  <r>
    <x v="4"/>
    <s v="تأجير العقارات"/>
    <n v="74988988.789999992"/>
  </r>
  <r>
    <x v="4"/>
    <s v="تأجير العقارات لأغراض مؤقته"/>
    <n v="126037.77"/>
  </r>
  <r>
    <x v="1"/>
    <s v="جمع النفايات التجارية"/>
    <n v="8408269.9499999993"/>
  </r>
  <r>
    <x v="1"/>
    <s v="رسم المعاينة والكشفية"/>
    <n v="742646.2"/>
  </r>
  <r>
    <x v="5"/>
    <s v="رسم ترخيص نشاط تقديم منتجات التبغ"/>
    <n v="1314301.33"/>
  </r>
  <r>
    <x v="5"/>
    <s v="رسم مبيعات محلات تقديم منتجات التبغ"/>
    <n v="8051293.4100000001"/>
  </r>
  <r>
    <x v="0"/>
    <s v="إشغال الفنادق والشقق المفروشة والمنتجعات السياحية"/>
    <n v="12545449.43"/>
  </r>
  <r>
    <x v="1"/>
    <s v="إصد ارالتراخيص بتأسيس أو تشغيل أبراج الاتصالات"/>
    <n v="16300"/>
  </r>
  <r>
    <x v="1"/>
    <s v="إصدار التراخيص بتأسيس أو تشغيل الصراف الآلي"/>
    <n v="16000"/>
  </r>
  <r>
    <x v="1"/>
    <s v="إصدار الشهادات الصحية"/>
    <n v="2401119.5"/>
  </r>
  <r>
    <x v="1"/>
    <s v="إصدار القرارات المساحية وفرز الأراضي والعقارات والوحدات السكنية وتجزئتها"/>
    <n v="2846318.5300000003"/>
  </r>
  <r>
    <x v="1"/>
    <s v="إصدار تراخيص استخدام أملاك خاصة لإقامة فعاليات"/>
    <n v="55505.63"/>
  </r>
  <r>
    <x v="1"/>
    <s v="إصدار تراخيص إشغال الأرصفة العامة والطرق"/>
    <n v="348030.09"/>
  </r>
  <r>
    <x v="1"/>
    <s v="إصدار تراخيص الإنشاء وترميم والهدم"/>
    <n v="26229748.579999998"/>
  </r>
  <r>
    <x v="1"/>
    <s v="إصدار تراخيص حفر الشوارع"/>
    <n v="0"/>
  </r>
  <r>
    <x v="1"/>
    <s v="إصدار رخص الأنشطة التجارية"/>
    <n v="31099056.400000002"/>
  </r>
  <r>
    <x v="1"/>
    <s v="اعتماد مخططات التطوير العقاري"/>
    <n v="0"/>
  </r>
  <r>
    <x v="2"/>
    <s v="الإيرادات المختلفة"/>
    <n v="2547101.23"/>
  </r>
  <r>
    <x v="1"/>
    <s v="المقابل المالي للسماح للأنشطة التجارية بالعمل 24 ساعة"/>
    <n v="2151224.36"/>
  </r>
  <r>
    <x v="3"/>
    <s v="إيرادات الجزاءات والغرامات"/>
    <n v="116337806.39"/>
  </r>
  <r>
    <x v="1"/>
    <s v="إيرادات رسوم اللوحات الإرشادية والمحلات"/>
    <n v="22391775.720000003"/>
  </r>
  <r>
    <x v="1"/>
    <s v="إيرادات رسوم اللوحات الدعائية والإعلانية"/>
    <n v="5861473.7200000007"/>
  </r>
  <r>
    <x v="4"/>
    <s v="تأجير العقارات"/>
    <n v="81840283.140000001"/>
  </r>
  <r>
    <x v="4"/>
    <s v="تأجير العقارات لأغراض مؤقته"/>
    <n v="117311.6"/>
  </r>
  <r>
    <x v="1"/>
    <s v="جمع النفايات التجارية"/>
    <n v="9318718.1300000008"/>
  </r>
  <r>
    <x v="1"/>
    <s v="رسم المعاينة والكشفية"/>
    <n v="747028.6"/>
  </r>
  <r>
    <x v="5"/>
    <s v="رسم ترخيص نشاط تقديم منتجات التبغ"/>
    <n v="1482068.43"/>
  </r>
  <r>
    <x v="5"/>
    <s v="رسم مبيعات محلات تقديم منتجات التبغ"/>
    <n v="7546583.1399999997"/>
  </r>
  <r>
    <x v="0"/>
    <s v="إشغال الفنادق والشقق المفروشة والمنتجعات السياحية"/>
    <n v="13352176.139999999"/>
  </r>
  <r>
    <x v="1"/>
    <s v="إصد ارالتراخيص بتأسيس أو تشغيل أبراج الاتصالات"/>
    <n v="7600"/>
  </r>
  <r>
    <x v="1"/>
    <s v="إصدار التراخيص بتأسيس أو تشغيل الصراف الآلي"/>
    <n v="62000"/>
  </r>
  <r>
    <x v="1"/>
    <s v="إصدار الشهادات الصحية"/>
    <n v="2401984.35"/>
  </r>
  <r>
    <x v="1"/>
    <s v="إصدار القرارات المساحية وفرز الأراضي والعقارات والوحدات السكنية وتجزئتها"/>
    <n v="5393039.6699999999"/>
  </r>
  <r>
    <x v="1"/>
    <s v="إصدار تراخيص استخدام أملاك خاصة لإقامة فعاليات"/>
    <n v="81804.19"/>
  </r>
  <r>
    <x v="1"/>
    <s v="إصدار تراخيص إشغال الأرصفة العامة والطرق"/>
    <n v="401041.65"/>
  </r>
  <r>
    <x v="1"/>
    <s v="إصدار تراخيص الإنشاء وترميم والهدم"/>
    <n v="22477407.07"/>
  </r>
  <r>
    <x v="1"/>
    <s v="إصدار تراخيص حفر الشوارع"/>
    <n v="0"/>
  </r>
  <r>
    <x v="1"/>
    <s v="إصدار رخص الأنشطة التجارية"/>
    <n v="31282275.140000001"/>
  </r>
  <r>
    <x v="1"/>
    <s v="اعتماد مخططات التطوير العقاري"/>
    <n v="0"/>
  </r>
  <r>
    <x v="2"/>
    <s v="الإيرادات المختلفة"/>
    <n v="48851174.740000002"/>
  </r>
  <r>
    <x v="1"/>
    <s v="المقابل المالي للسماح للأنشطة التجارية بالعمل 24 ساعة"/>
    <n v="1674619.11"/>
  </r>
  <r>
    <x v="3"/>
    <s v="إيرادات الجزاءات والغرامات"/>
    <n v="131924171.7"/>
  </r>
  <r>
    <x v="1"/>
    <s v="إيرادات رسوم اللوحات الإرشادية والمحلات"/>
    <n v="23087068.609999999"/>
  </r>
  <r>
    <x v="1"/>
    <s v="إيرادات رسوم اللوحات الدعائية والإعلانية"/>
    <n v="6972127.3799999999"/>
  </r>
  <r>
    <x v="4"/>
    <s v="تأجير العقارات"/>
    <n v="67498298.719999999"/>
  </r>
  <r>
    <x v="4"/>
    <s v="تأجير العقارات لأغراض مؤقته"/>
    <n v="493878.3"/>
  </r>
  <r>
    <x v="1"/>
    <s v="جمع النفايات التجارية"/>
    <n v="8710896.0999999996"/>
  </r>
  <r>
    <x v="1"/>
    <s v="رسم المعاينة والكشفية"/>
    <n v="710734.8"/>
  </r>
  <r>
    <x v="5"/>
    <s v="رسم ترخيص نشاط تقديم منتجات التبغ"/>
    <n v="1025000"/>
  </r>
  <r>
    <x v="5"/>
    <s v="رسم مبيعات محلات تقديم منتجات التبغ"/>
    <n v="8894726.3699999992"/>
  </r>
  <r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A7C37-B1B9-4032-93C5-E0655877CB11}" name="PivotTable1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1" firstHeaderRow="1" firstDataRow="1" firstDataCol="1"/>
  <pivotFields count="3">
    <pivotField axis="axisRow" showAll="0">
      <items count="8">
        <item x="2"/>
        <item x="4"/>
        <item x="3"/>
        <item x="1"/>
        <item x="0"/>
        <item x="5"/>
        <item x="6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المفوتر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F5AC-7C01-4DB1-909F-9BE44230CA78}">
  <dimension ref="A1:J16"/>
  <sheetViews>
    <sheetView workbookViewId="0">
      <pane ySplit="1" topLeftCell="A2" activePane="bottomLeft" state="frozen"/>
      <selection pane="bottomLeft" activeCell="A17" sqref="A17"/>
    </sheetView>
  </sheetViews>
  <sheetFormatPr defaultRowHeight="14.25" x14ac:dyDescent="0.2"/>
  <cols>
    <col min="2" max="2" width="11.875" bestFit="1" customWidth="1"/>
    <col min="3" max="3" width="13.125" bestFit="1" customWidth="1"/>
    <col min="4" max="4" width="11.125" bestFit="1" customWidth="1"/>
    <col min="5" max="5" width="13.5" bestFit="1" customWidth="1"/>
    <col min="6" max="6" width="12.125" bestFit="1" customWidth="1"/>
    <col min="7" max="7" width="14.875" style="6" bestFit="1" customWidth="1"/>
    <col min="8" max="8" width="18.125" bestFit="1" customWidth="1"/>
    <col min="9" max="9" width="21.125" bestFit="1" customWidth="1"/>
    <col min="10" max="10" width="29.5" bestFit="1" customWidth="1"/>
  </cols>
  <sheetData>
    <row r="1" spans="1:10" ht="15.75" x14ac:dyDescent="0.2">
      <c r="A1" s="52" t="s">
        <v>0</v>
      </c>
      <c r="B1" s="53" t="s">
        <v>1</v>
      </c>
      <c r="C1" s="53" t="s">
        <v>2</v>
      </c>
      <c r="D1" s="54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</row>
    <row r="2" spans="1:10" ht="15.75" x14ac:dyDescent="0.2">
      <c r="A2" s="49">
        <v>2026</v>
      </c>
      <c r="B2" s="40" t="s">
        <v>10</v>
      </c>
      <c r="C2" s="40" t="s">
        <v>11</v>
      </c>
      <c r="D2" s="41">
        <v>875510698.83999991</v>
      </c>
      <c r="E2" s="41">
        <v>760641633.82999992</v>
      </c>
      <c r="F2" s="41">
        <v>861842473.2968595</v>
      </c>
      <c r="G2" s="41">
        <v>644287058.85000002</v>
      </c>
      <c r="H2" s="42">
        <f>(D2-E2)/E2</f>
        <v>0.15101601056414526</v>
      </c>
      <c r="I2" s="42">
        <f t="shared" ref="I2:I16" si="0">(D2-F2)/F2</f>
        <v>1.5859308361601744E-2</v>
      </c>
      <c r="J2" s="42">
        <f>IFERROR(((D2-G2)/G2),0)</f>
        <v>0.35888294947707822</v>
      </c>
    </row>
    <row r="3" spans="1:10" ht="15.75" x14ac:dyDescent="0.2">
      <c r="A3" s="49">
        <v>2026</v>
      </c>
      <c r="B3" s="40" t="s">
        <v>10</v>
      </c>
      <c r="C3" s="40" t="s">
        <v>12</v>
      </c>
      <c r="D3" s="41">
        <v>793144834.42058814</v>
      </c>
      <c r="E3" s="41">
        <v>674223370.6700002</v>
      </c>
      <c r="F3" s="41">
        <v>730067277.6699127</v>
      </c>
      <c r="G3" s="41">
        <v>713418156.24647069</v>
      </c>
      <c r="H3" s="42">
        <f t="shared" ref="H3:H16" si="1">(D3-E3)/E3</f>
        <v>0.17638288573772126</v>
      </c>
      <c r="I3" s="42">
        <f t="shared" si="0"/>
        <v>8.6399649292588712E-2</v>
      </c>
      <c r="J3" s="42">
        <f t="shared" ref="J3:J16" si="2">IFERROR(((D3-G3)/G3),0)</f>
        <v>0.11175308264312464</v>
      </c>
    </row>
    <row r="4" spans="1:10" ht="15.75" x14ac:dyDescent="0.2">
      <c r="A4" s="49">
        <v>2026</v>
      </c>
      <c r="B4" s="40" t="s">
        <v>10</v>
      </c>
      <c r="C4" s="40" t="s">
        <v>13</v>
      </c>
      <c r="D4" s="41">
        <v>552293945.98000002</v>
      </c>
      <c r="E4" s="41">
        <v>256066603.51000002</v>
      </c>
      <c r="F4" s="41">
        <v>317877294.31618857</v>
      </c>
      <c r="G4" s="41">
        <v>205349384.78</v>
      </c>
      <c r="H4" s="42">
        <f t="shared" si="1"/>
        <v>1.1568370822649336</v>
      </c>
      <c r="I4" s="42">
        <f t="shared" si="0"/>
        <v>0.73744383715132589</v>
      </c>
      <c r="J4" s="42">
        <f t="shared" si="2"/>
        <v>1.6895329955417071</v>
      </c>
    </row>
    <row r="5" spans="1:10" ht="15.75" x14ac:dyDescent="0.2">
      <c r="A5" s="49">
        <v>2026</v>
      </c>
      <c r="B5" s="40" t="s">
        <v>10</v>
      </c>
      <c r="C5" s="40" t="s">
        <v>14</v>
      </c>
      <c r="D5" s="41">
        <v>171795644.00647056</v>
      </c>
      <c r="E5" s="41">
        <v>226557337.19</v>
      </c>
      <c r="F5" s="41">
        <v>244367882.00294268</v>
      </c>
      <c r="G5" s="41">
        <v>193478151.06882352</v>
      </c>
      <c r="H5" s="42">
        <f t="shared" si="1"/>
        <v>-0.2417122917436309</v>
      </c>
      <c r="I5" s="42">
        <f t="shared" si="0"/>
        <v>-0.29697944509580931</v>
      </c>
      <c r="J5" s="42">
        <f t="shared" si="2"/>
        <v>-0.11206695403368887</v>
      </c>
    </row>
    <row r="6" spans="1:10" ht="15.75" x14ac:dyDescent="0.2">
      <c r="A6" s="49">
        <v>2026</v>
      </c>
      <c r="B6" s="40" t="s">
        <v>10</v>
      </c>
      <c r="C6" s="40" t="s">
        <v>15</v>
      </c>
      <c r="D6" s="41">
        <v>62112398.950000003</v>
      </c>
      <c r="E6" s="41">
        <v>11198995.940000001</v>
      </c>
      <c r="F6" s="41">
        <v>6859051.1505904179</v>
      </c>
      <c r="G6" s="41">
        <v>3213063.54</v>
      </c>
      <c r="H6" s="42">
        <f t="shared" si="1"/>
        <v>4.5462471174000623</v>
      </c>
      <c r="I6" s="42">
        <f t="shared" si="0"/>
        <v>8.0555380892083672</v>
      </c>
      <c r="J6" s="42">
        <f t="shared" si="2"/>
        <v>18.331207794913389</v>
      </c>
    </row>
    <row r="7" spans="1:10" ht="15.75" x14ac:dyDescent="0.2">
      <c r="A7" s="50">
        <v>2026</v>
      </c>
      <c r="B7" s="47" t="s">
        <v>16</v>
      </c>
      <c r="C7" s="47" t="s">
        <v>11</v>
      </c>
      <c r="D7" s="43">
        <v>783051302.26999986</v>
      </c>
      <c r="E7" s="43">
        <v>650634598.9000001</v>
      </c>
      <c r="F7" s="43">
        <v>716952147.23620594</v>
      </c>
      <c r="G7" s="43">
        <v>470219003.25999999</v>
      </c>
      <c r="H7" s="44">
        <f t="shared" si="1"/>
        <v>0.2035193080630372</v>
      </c>
      <c r="I7" s="44">
        <f t="shared" si="0"/>
        <v>9.2194653839312662E-2</v>
      </c>
      <c r="J7" s="44">
        <f t="shared" si="2"/>
        <v>0.66529063445150538</v>
      </c>
    </row>
    <row r="8" spans="1:10" ht="15.75" x14ac:dyDescent="0.2">
      <c r="A8" s="50">
        <v>2026</v>
      </c>
      <c r="B8" s="47" t="s">
        <v>16</v>
      </c>
      <c r="C8" s="47" t="s">
        <v>12</v>
      </c>
      <c r="D8" s="43">
        <v>697857603.63764703</v>
      </c>
      <c r="E8" s="43">
        <v>594594102.25999999</v>
      </c>
      <c r="F8" s="43">
        <v>649010477.20299208</v>
      </c>
      <c r="G8" s="43">
        <v>535445427.04882348</v>
      </c>
      <c r="H8" s="44">
        <f t="shared" si="1"/>
        <v>0.17367057793737195</v>
      </c>
      <c r="I8" s="44">
        <f t="shared" si="0"/>
        <v>7.5264002894327622E-2</v>
      </c>
      <c r="J8" s="44">
        <f t="shared" si="2"/>
        <v>0.30332162417368885</v>
      </c>
    </row>
    <row r="9" spans="1:10" ht="15.75" x14ac:dyDescent="0.2">
      <c r="A9" s="50">
        <v>2026</v>
      </c>
      <c r="B9" s="47" t="s">
        <v>16</v>
      </c>
      <c r="C9" s="47" t="s">
        <v>13</v>
      </c>
      <c r="D9" s="43">
        <v>530947919.19000006</v>
      </c>
      <c r="E9" s="43">
        <v>244857380.23000002</v>
      </c>
      <c r="F9" s="43">
        <v>304489254.48949999</v>
      </c>
      <c r="G9" s="43">
        <v>196893337.29999998</v>
      </c>
      <c r="H9" s="44">
        <f t="shared" si="1"/>
        <v>1.1683966343643339</v>
      </c>
      <c r="I9" s="44">
        <f t="shared" si="0"/>
        <v>0.74373286203539668</v>
      </c>
      <c r="J9" s="44">
        <f t="shared" si="2"/>
        <v>1.6966271508771877</v>
      </c>
    </row>
    <row r="10" spans="1:10" ht="15.75" x14ac:dyDescent="0.2">
      <c r="A10" s="50">
        <v>2026</v>
      </c>
      <c r="B10" s="47" t="s">
        <v>16</v>
      </c>
      <c r="C10" s="47" t="s">
        <v>14</v>
      </c>
      <c r="D10" s="43">
        <v>163976643.0517647</v>
      </c>
      <c r="E10" s="43">
        <v>222394817.49000001</v>
      </c>
      <c r="F10" s="43">
        <v>239877320.7644113</v>
      </c>
      <c r="G10" s="43">
        <v>187102929.74058822</v>
      </c>
      <c r="H10" s="44">
        <f t="shared" si="1"/>
        <v>-0.26267776874279947</v>
      </c>
      <c r="I10" s="44">
        <f t="shared" si="0"/>
        <v>-0.31641456337254281</v>
      </c>
      <c r="J10" s="44">
        <f t="shared" si="2"/>
        <v>-0.12360194851511584</v>
      </c>
    </row>
    <row r="11" spans="1:10" ht="15.75" x14ac:dyDescent="0.2">
      <c r="A11" s="50">
        <v>2026</v>
      </c>
      <c r="B11" s="47" t="s">
        <v>16</v>
      </c>
      <c r="C11" s="47" t="s">
        <v>15</v>
      </c>
      <c r="D11" s="43">
        <v>62103116.809999987</v>
      </c>
      <c r="E11" s="43">
        <v>2333331</v>
      </c>
      <c r="F11" s="43">
        <v>3696427.6964285709</v>
      </c>
      <c r="G11" s="43">
        <v>3182058.97</v>
      </c>
      <c r="H11" s="44">
        <f t="shared" si="1"/>
        <v>25.615648105648102</v>
      </c>
      <c r="I11" s="44">
        <f t="shared" si="0"/>
        <v>15.800847171987979</v>
      </c>
      <c r="J11" s="44">
        <f t="shared" si="2"/>
        <v>18.516645478760559</v>
      </c>
    </row>
    <row r="12" spans="1:10" ht="15.75" x14ac:dyDescent="0.2">
      <c r="A12" s="51">
        <v>2026</v>
      </c>
      <c r="B12" s="48" t="s">
        <v>17</v>
      </c>
      <c r="C12" s="48" t="s">
        <v>11</v>
      </c>
      <c r="D12" s="45">
        <f>D2-D7</f>
        <v>92459396.570000052</v>
      </c>
      <c r="E12" s="45">
        <f t="shared" ref="E12:G12" si="3">E2-E7</f>
        <v>110007034.92999983</v>
      </c>
      <c r="F12" s="45">
        <f t="shared" si="3"/>
        <v>144890326.06065357</v>
      </c>
      <c r="G12" s="45">
        <f t="shared" si="3"/>
        <v>174068055.59000003</v>
      </c>
      <c r="H12" s="46">
        <f t="shared" si="1"/>
        <v>-0.15951378356089471</v>
      </c>
      <c r="I12" s="46">
        <f t="shared" si="0"/>
        <v>-0.36186632272954533</v>
      </c>
      <c r="J12" s="46">
        <f t="shared" si="2"/>
        <v>-0.46883191027434146</v>
      </c>
    </row>
    <row r="13" spans="1:10" ht="15.75" x14ac:dyDescent="0.2">
      <c r="A13" s="51">
        <v>2026</v>
      </c>
      <c r="B13" s="48" t="s">
        <v>17</v>
      </c>
      <c r="C13" s="48" t="s">
        <v>12</v>
      </c>
      <c r="D13" s="45">
        <f t="shared" ref="D13:D16" si="4">D3-D8</f>
        <v>95287230.782941103</v>
      </c>
      <c r="E13" s="45">
        <f t="shared" ref="E13:G13" si="5">E3-E8</f>
        <v>79629268.410000205</v>
      </c>
      <c r="F13" s="45">
        <f t="shared" si="5"/>
        <v>81056800.466920614</v>
      </c>
      <c r="G13" s="45">
        <f t="shared" si="5"/>
        <v>177972729.19764721</v>
      </c>
      <c r="H13" s="46">
        <f t="shared" si="1"/>
        <v>0.19663576829966831</v>
      </c>
      <c r="I13" s="46">
        <f t="shared" si="0"/>
        <v>0.17556121428488836</v>
      </c>
      <c r="J13" s="46">
        <f t="shared" si="2"/>
        <v>-0.46459645130732313</v>
      </c>
    </row>
    <row r="14" spans="1:10" ht="15.75" x14ac:dyDescent="0.2">
      <c r="A14" s="51">
        <v>2026</v>
      </c>
      <c r="B14" s="48" t="s">
        <v>17</v>
      </c>
      <c r="C14" s="48" t="s">
        <v>13</v>
      </c>
      <c r="D14" s="45">
        <f t="shared" si="4"/>
        <v>21346026.789999962</v>
      </c>
      <c r="E14" s="45">
        <f t="shared" ref="E14:G14" si="6">E4-E9</f>
        <v>11209223.280000001</v>
      </c>
      <c r="F14" s="45">
        <f t="shared" si="6"/>
        <v>13388039.826688588</v>
      </c>
      <c r="G14" s="45">
        <f t="shared" si="6"/>
        <v>8456047.4800000191</v>
      </c>
      <c r="H14" s="46">
        <f t="shared" si="1"/>
        <v>0.90432702220201999</v>
      </c>
      <c r="I14" s="46">
        <f t="shared" si="0"/>
        <v>0.59441016506743627</v>
      </c>
      <c r="J14" s="46">
        <f t="shared" si="2"/>
        <v>1.5243503942577099</v>
      </c>
    </row>
    <row r="15" spans="1:10" ht="15.75" x14ac:dyDescent="0.2">
      <c r="A15" s="51">
        <v>2026</v>
      </c>
      <c r="B15" s="48" t="s">
        <v>17</v>
      </c>
      <c r="C15" s="48" t="s">
        <v>14</v>
      </c>
      <c r="D15" s="45">
        <f t="shared" si="4"/>
        <v>7819000.9547058642</v>
      </c>
      <c r="E15" s="45">
        <f t="shared" ref="E15:G15" si="7">E5-E10</f>
        <v>4162519.6999999881</v>
      </c>
      <c r="F15" s="45">
        <f t="shared" si="7"/>
        <v>4490561.2385313809</v>
      </c>
      <c r="G15" s="45">
        <f t="shared" si="7"/>
        <v>6375221.3282352984</v>
      </c>
      <c r="H15" s="46">
        <f t="shared" si="1"/>
        <v>0.87842977769111497</v>
      </c>
      <c r="I15" s="46">
        <f t="shared" si="0"/>
        <v>0.74120795583739452</v>
      </c>
      <c r="J15" s="46">
        <f t="shared" si="2"/>
        <v>0.22646737299553696</v>
      </c>
    </row>
    <row r="16" spans="1:10" ht="15.75" x14ac:dyDescent="0.2">
      <c r="A16" s="51">
        <v>2026</v>
      </c>
      <c r="B16" s="48" t="s">
        <v>17</v>
      </c>
      <c r="C16" s="48" t="s">
        <v>15</v>
      </c>
      <c r="D16" s="45">
        <f t="shared" si="4"/>
        <v>9282.1400000154972</v>
      </c>
      <c r="E16" s="45">
        <f t="shared" ref="E16:G16" si="8">E6-E11</f>
        <v>8865664.9400000013</v>
      </c>
      <c r="F16" s="45">
        <f t="shared" si="8"/>
        <v>3162623.454161847</v>
      </c>
      <c r="G16" s="45">
        <f t="shared" si="8"/>
        <v>31004.569999999832</v>
      </c>
      <c r="H16" s="46">
        <f t="shared" si="1"/>
        <v>-0.99895302382135642</v>
      </c>
      <c r="I16" s="46">
        <f t="shared" si="0"/>
        <v>-0.9970650505396712</v>
      </c>
      <c r="J16" s="46">
        <f t="shared" si="2"/>
        <v>-0.700620263399378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6FB3-92F5-47B8-9A52-C7F6A5896A0F}">
  <dimension ref="A1:K19"/>
  <sheetViews>
    <sheetView workbookViewId="0">
      <pane ySplit="1" topLeftCell="A2" activePane="bottomLeft" state="frozen"/>
      <selection activeCell="B1" sqref="B1"/>
      <selection pane="bottomLeft" activeCell="A19" sqref="A19:XFD30"/>
    </sheetView>
  </sheetViews>
  <sheetFormatPr defaultRowHeight="14.25" x14ac:dyDescent="0.2"/>
  <cols>
    <col min="1" max="1" width="13.125" bestFit="1" customWidth="1"/>
    <col min="2" max="2" width="14.5" style="6" bestFit="1" customWidth="1"/>
    <col min="3" max="3" width="13.5" style="6" bestFit="1" customWidth="1"/>
    <col min="4" max="4" width="13.75" style="6" bestFit="1" customWidth="1"/>
    <col min="5" max="5" width="15.125" style="6" bestFit="1" customWidth="1"/>
    <col min="6" max="6" width="13.5" style="6" bestFit="1" customWidth="1"/>
    <col min="7" max="7" width="12.5" style="6" customWidth="1"/>
    <col min="8" max="10" width="19.125" style="6" customWidth="1"/>
    <col min="11" max="11" width="23.125" customWidth="1"/>
    <col min="12" max="12" width="12.125" bestFit="1" customWidth="1"/>
  </cols>
  <sheetData>
    <row r="1" spans="1:11" ht="17.25" x14ac:dyDescent="0.4">
      <c r="A1" s="20" t="s">
        <v>1</v>
      </c>
      <c r="B1" s="20" t="s">
        <v>2</v>
      </c>
      <c r="C1" s="20" t="s">
        <v>18</v>
      </c>
      <c r="D1" s="21" t="s">
        <v>3</v>
      </c>
      <c r="E1" s="20" t="s">
        <v>19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</row>
    <row r="2" spans="1:11" ht="15.75" x14ac:dyDescent="0.2">
      <c r="A2" s="40" t="s">
        <v>10</v>
      </c>
      <c r="B2" s="40" t="s">
        <v>11</v>
      </c>
      <c r="C2" s="41">
        <v>1076393162.55</v>
      </c>
      <c r="D2" s="41">
        <v>1052146902.9299997</v>
      </c>
      <c r="E2" s="41">
        <v>172092270.25999999</v>
      </c>
      <c r="F2" s="41">
        <v>927616558.44999993</v>
      </c>
      <c r="G2" s="41">
        <v>961432267.05133247</v>
      </c>
      <c r="H2" s="41">
        <v>710442874.35000002</v>
      </c>
      <c r="I2" s="42">
        <f t="shared" ref="I2:I16" si="0">(D2-F2)/F2</f>
        <v>0.13424765151679013</v>
      </c>
      <c r="J2" s="42">
        <f t="shared" ref="J2:J16" si="1">(D2-G2)/G2</f>
        <v>9.4353641943893521E-2</v>
      </c>
      <c r="K2" s="42">
        <f t="shared" ref="K2:K15" si="2">IFERROR(((D2-H2)/H2),0)</f>
        <v>0.48097326458884154</v>
      </c>
    </row>
    <row r="3" spans="1:11" ht="15.75" x14ac:dyDescent="0.2">
      <c r="A3" s="40" t="s">
        <v>10</v>
      </c>
      <c r="B3" s="40" t="s">
        <v>12</v>
      </c>
      <c r="C3" s="41">
        <v>886256224.25</v>
      </c>
      <c r="D3" s="41">
        <v>892785426.90058839</v>
      </c>
      <c r="E3" s="41">
        <v>60232779.539999999</v>
      </c>
      <c r="F3" s="41">
        <v>796426035.44999993</v>
      </c>
      <c r="G3" s="41">
        <v>848907990.66152799</v>
      </c>
      <c r="H3" s="41">
        <v>815247467.5135293</v>
      </c>
      <c r="I3" s="42">
        <f t="shared" si="0"/>
        <v>0.12098975568540157</v>
      </c>
      <c r="J3" s="42">
        <f t="shared" si="1"/>
        <v>5.1686916275659106E-2</v>
      </c>
      <c r="K3" s="42">
        <f t="shared" si="2"/>
        <v>9.5109721252550017E-2</v>
      </c>
    </row>
    <row r="4" spans="1:11" ht="15.75" x14ac:dyDescent="0.2">
      <c r="A4" s="40" t="s">
        <v>10</v>
      </c>
      <c r="B4" s="40" t="s">
        <v>13</v>
      </c>
      <c r="C4" s="41">
        <v>1178333315.1200001</v>
      </c>
      <c r="D4" s="41">
        <v>638902525.39999998</v>
      </c>
      <c r="E4" s="41">
        <v>166100917.37</v>
      </c>
      <c r="F4" s="41">
        <v>306836149.89000005</v>
      </c>
      <c r="G4" s="41">
        <v>375952360.89778489</v>
      </c>
      <c r="H4" s="41">
        <v>240752908.34999999</v>
      </c>
      <c r="I4" s="42">
        <f t="shared" si="0"/>
        <v>1.0822270310360915</v>
      </c>
      <c r="J4" s="42">
        <f t="shared" si="1"/>
        <v>0.69942416074814018</v>
      </c>
      <c r="K4" s="42">
        <f t="shared" si="2"/>
        <v>1.6537686700389966</v>
      </c>
    </row>
    <row r="5" spans="1:11" ht="15.75" x14ac:dyDescent="0.2">
      <c r="A5" s="40" t="s">
        <v>10</v>
      </c>
      <c r="B5" s="40" t="s">
        <v>14</v>
      </c>
      <c r="C5" s="41">
        <v>234598213.09</v>
      </c>
      <c r="D5" s="41">
        <v>209077505.47647056</v>
      </c>
      <c r="E5" s="41">
        <v>10013687.050000001</v>
      </c>
      <c r="F5" s="41">
        <v>255189065.50000003</v>
      </c>
      <c r="G5" s="41">
        <v>275305297.28577596</v>
      </c>
      <c r="H5" s="41">
        <v>216326629.90529409</v>
      </c>
      <c r="I5" s="42">
        <f t="shared" si="0"/>
        <v>-0.18069567335568093</v>
      </c>
      <c r="J5" s="42">
        <f t="shared" si="1"/>
        <v>-0.24056126947880255</v>
      </c>
      <c r="K5" s="42">
        <f t="shared" si="2"/>
        <v>-3.3510088110729287E-2</v>
      </c>
    </row>
    <row r="6" spans="1:11" ht="15.75" x14ac:dyDescent="0.2">
      <c r="A6" s="40" t="s">
        <v>10</v>
      </c>
      <c r="B6" s="40" t="s">
        <v>15</v>
      </c>
      <c r="C6" s="41">
        <v>444283048.95999998</v>
      </c>
      <c r="D6" s="41">
        <v>193342193.88</v>
      </c>
      <c r="E6" s="41">
        <v>21834767.149999999</v>
      </c>
      <c r="F6" s="41">
        <v>12827423.859999999</v>
      </c>
      <c r="G6" s="41">
        <v>7852520.9714230634</v>
      </c>
      <c r="H6" s="41">
        <v>4934083.4800000004</v>
      </c>
      <c r="I6" s="42">
        <f t="shared" si="0"/>
        <v>14.072566088885752</v>
      </c>
      <c r="J6" s="42">
        <f t="shared" si="1"/>
        <v>23.621671764215844</v>
      </c>
      <c r="K6" s="42">
        <f t="shared" si="2"/>
        <v>38.185026897842434</v>
      </c>
    </row>
    <row r="7" spans="1:11" ht="15.75" x14ac:dyDescent="0.2">
      <c r="A7" s="47" t="s">
        <v>16</v>
      </c>
      <c r="B7" s="47" t="s">
        <v>11</v>
      </c>
      <c r="C7" s="43">
        <v>887696237.13</v>
      </c>
      <c r="D7" s="43">
        <v>909019386.87</v>
      </c>
      <c r="E7" s="43">
        <v>103294782.73</v>
      </c>
      <c r="F7" s="43">
        <v>799100262.56000006</v>
      </c>
      <c r="G7" s="43">
        <v>793568426.66924679</v>
      </c>
      <c r="H7" s="43">
        <v>569503831.15999997</v>
      </c>
      <c r="I7" s="44">
        <f t="shared" si="0"/>
        <v>0.13755360805146366</v>
      </c>
      <c r="J7" s="44">
        <f t="shared" si="1"/>
        <v>0.14548330845938795</v>
      </c>
      <c r="K7" s="44">
        <f t="shared" si="2"/>
        <v>0.59616026641726738</v>
      </c>
    </row>
    <row r="8" spans="1:11" ht="15.75" x14ac:dyDescent="0.2">
      <c r="A8" s="47" t="s">
        <v>16</v>
      </c>
      <c r="B8" s="47" t="s">
        <v>12</v>
      </c>
      <c r="C8" s="43">
        <v>856010971.80999994</v>
      </c>
      <c r="D8" s="43">
        <v>777298085.67764711</v>
      </c>
      <c r="E8" s="43">
        <v>57229772.810000002</v>
      </c>
      <c r="F8" s="43">
        <v>704320850.58000004</v>
      </c>
      <c r="G8" s="43">
        <v>753105262.90823686</v>
      </c>
      <c r="H8" s="43">
        <v>734132566.54764712</v>
      </c>
      <c r="I8" s="44">
        <f t="shared" si="0"/>
        <v>0.10361362302074568</v>
      </c>
      <c r="J8" s="44">
        <f t="shared" si="1"/>
        <v>3.2124092023983183E-2</v>
      </c>
      <c r="K8" s="44">
        <f t="shared" si="2"/>
        <v>5.8797989759521781E-2</v>
      </c>
    </row>
    <row r="9" spans="1:11" ht="15.75" x14ac:dyDescent="0.2">
      <c r="A9" s="47" t="s">
        <v>16</v>
      </c>
      <c r="B9" s="47" t="s">
        <v>13</v>
      </c>
      <c r="C9" s="43">
        <v>1013325067.08</v>
      </c>
      <c r="D9" s="43">
        <v>605693992.25999999</v>
      </c>
      <c r="E9" s="43">
        <v>159719647.37</v>
      </c>
      <c r="F9" s="43">
        <v>293815371.24000001</v>
      </c>
      <c r="G9" s="43">
        <v>360281204.30150002</v>
      </c>
      <c r="H9" s="43">
        <v>233304738.94999999</v>
      </c>
      <c r="I9" s="44">
        <f t="shared" si="0"/>
        <v>1.0614782327546954</v>
      </c>
      <c r="J9" s="44">
        <f t="shared" si="1"/>
        <v>0.68117011109224324</v>
      </c>
      <c r="K9" s="44">
        <f t="shared" si="2"/>
        <v>1.5961495466656916</v>
      </c>
    </row>
    <row r="10" spans="1:11" ht="15.75" x14ac:dyDescent="0.2">
      <c r="A10" s="47" t="s">
        <v>16</v>
      </c>
      <c r="B10" s="47" t="s">
        <v>14</v>
      </c>
      <c r="C10" s="43">
        <v>226141463.47</v>
      </c>
      <c r="D10" s="43">
        <v>199990744.88176471</v>
      </c>
      <c r="E10" s="43">
        <v>9517463.3000000007</v>
      </c>
      <c r="F10" s="43">
        <v>250446252.38000003</v>
      </c>
      <c r="G10" s="43">
        <v>270108321.91759574</v>
      </c>
      <c r="H10" s="43">
        <v>206246638.12235293</v>
      </c>
      <c r="I10" s="44">
        <f t="shared" si="0"/>
        <v>-0.20146241765949682</v>
      </c>
      <c r="J10" s="44">
        <f t="shared" si="1"/>
        <v>-0.25959058402214796</v>
      </c>
      <c r="K10" s="44">
        <f t="shared" si="2"/>
        <v>-3.0332098004317513E-2</v>
      </c>
    </row>
    <row r="11" spans="1:11" ht="15.75" x14ac:dyDescent="0.2">
      <c r="A11" s="47" t="s">
        <v>16</v>
      </c>
      <c r="B11" s="47" t="s">
        <v>15</v>
      </c>
      <c r="C11" s="43">
        <v>359910396.19999999</v>
      </c>
      <c r="D11" s="43">
        <v>110002896.97999999</v>
      </c>
      <c r="E11" s="43">
        <v>21516421.780000001</v>
      </c>
      <c r="F11" s="43">
        <v>2666664</v>
      </c>
      <c r="G11" s="43">
        <v>4238094.2380952369</v>
      </c>
      <c r="H11" s="43">
        <v>4685405.07</v>
      </c>
      <c r="I11" s="44">
        <f t="shared" si="0"/>
        <v>40.251127618627613</v>
      </c>
      <c r="J11" s="44">
        <f t="shared" si="1"/>
        <v>24.955745861243411</v>
      </c>
      <c r="K11" s="44">
        <f t="shared" si="2"/>
        <v>22.477777339750901</v>
      </c>
    </row>
    <row r="12" spans="1:11" ht="15.75" x14ac:dyDescent="0.2">
      <c r="A12" s="48" t="s">
        <v>17</v>
      </c>
      <c r="B12" s="48" t="s">
        <v>11</v>
      </c>
      <c r="C12" s="45">
        <f t="shared" ref="C12:H12" si="3">C2-C7</f>
        <v>188696925.41999996</v>
      </c>
      <c r="D12" s="45">
        <f t="shared" si="3"/>
        <v>143127516.0599997</v>
      </c>
      <c r="E12" s="45">
        <f t="shared" si="3"/>
        <v>68797487.529999986</v>
      </c>
      <c r="F12" s="45">
        <f t="shared" si="3"/>
        <v>128516295.88999987</v>
      </c>
      <c r="G12" s="45">
        <f t="shared" si="3"/>
        <v>167863840.38208568</v>
      </c>
      <c r="H12" s="45">
        <f t="shared" si="3"/>
        <v>140939043.19000006</v>
      </c>
      <c r="I12" s="46">
        <f t="shared" si="0"/>
        <v>0.1136915755999218</v>
      </c>
      <c r="J12" s="46">
        <f t="shared" si="1"/>
        <v>-0.14735945672267498</v>
      </c>
      <c r="K12" s="46">
        <f t="shared" si="2"/>
        <v>1.5527797127509691E-2</v>
      </c>
    </row>
    <row r="13" spans="1:11" ht="15.75" x14ac:dyDescent="0.2">
      <c r="A13" s="48" t="s">
        <v>17</v>
      </c>
      <c r="B13" s="48" t="s">
        <v>12</v>
      </c>
      <c r="C13" s="45">
        <f>C3-C8</f>
        <v>30245252.440000057</v>
      </c>
      <c r="D13" s="45">
        <f t="shared" ref="D13:H13" si="4">D3-D8</f>
        <v>115487341.22294128</v>
      </c>
      <c r="E13" s="45">
        <f t="shared" si="4"/>
        <v>3003006.7299999967</v>
      </c>
      <c r="F13" s="45">
        <f t="shared" si="4"/>
        <v>92105184.869999886</v>
      </c>
      <c r="G13" s="45">
        <f t="shared" si="4"/>
        <v>95802727.75329113</v>
      </c>
      <c r="H13" s="45">
        <f t="shared" si="4"/>
        <v>81114900.965882182</v>
      </c>
      <c r="I13" s="46">
        <f t="shared" si="0"/>
        <v>0.25386362761166698</v>
      </c>
      <c r="J13" s="46">
        <f t="shared" si="1"/>
        <v>0.20547028181015356</v>
      </c>
      <c r="K13" s="46">
        <f t="shared" si="2"/>
        <v>0.4237500119924516</v>
      </c>
    </row>
    <row r="14" spans="1:11" ht="15.75" x14ac:dyDescent="0.2">
      <c r="A14" s="48" t="s">
        <v>17</v>
      </c>
      <c r="B14" s="48" t="s">
        <v>13</v>
      </c>
      <c r="C14" s="45">
        <f t="shared" ref="C14:H14" si="5">C4-C9</f>
        <v>165008248.04000008</v>
      </c>
      <c r="D14" s="45">
        <f t="shared" si="5"/>
        <v>33208533.139999986</v>
      </c>
      <c r="E14" s="45">
        <f t="shared" si="5"/>
        <v>6381270</v>
      </c>
      <c r="F14" s="45">
        <f t="shared" si="5"/>
        <v>13020778.650000036</v>
      </c>
      <c r="G14" s="45">
        <f t="shared" si="5"/>
        <v>15671156.596284866</v>
      </c>
      <c r="H14" s="45">
        <f t="shared" si="5"/>
        <v>7448169.400000006</v>
      </c>
      <c r="I14" s="46">
        <f t="shared" si="0"/>
        <v>1.5504260561252914</v>
      </c>
      <c r="J14" s="46">
        <f t="shared" si="1"/>
        <v>1.1190862930865406</v>
      </c>
      <c r="K14" s="46">
        <f t="shared" si="2"/>
        <v>3.4586167897846094</v>
      </c>
    </row>
    <row r="15" spans="1:11" ht="15.75" x14ac:dyDescent="0.2">
      <c r="A15" s="48" t="s">
        <v>17</v>
      </c>
      <c r="B15" s="48" t="s">
        <v>14</v>
      </c>
      <c r="C15" s="45">
        <f t="shared" ref="C15:H15" si="6">C5-C10</f>
        <v>8456749.6200000048</v>
      </c>
      <c r="D15" s="45">
        <f t="shared" si="6"/>
        <v>9086760.5947058499</v>
      </c>
      <c r="E15" s="45">
        <f t="shared" si="6"/>
        <v>496223.75</v>
      </c>
      <c r="F15" s="45">
        <f t="shared" si="6"/>
        <v>4742813.1200000048</v>
      </c>
      <c r="G15" s="45">
        <f t="shared" si="6"/>
        <v>5196975.3681802154</v>
      </c>
      <c r="H15" s="45">
        <f t="shared" si="6"/>
        <v>10079991.782941163</v>
      </c>
      <c r="I15" s="46">
        <f t="shared" si="0"/>
        <v>0.91590104117487148</v>
      </c>
      <c r="J15" s="46">
        <f t="shared" si="1"/>
        <v>0.74847097608771052</v>
      </c>
      <c r="K15" s="46">
        <f t="shared" si="2"/>
        <v>-9.8534920426840422E-2</v>
      </c>
    </row>
    <row r="16" spans="1:11" ht="15.75" x14ac:dyDescent="0.2">
      <c r="A16" s="48" t="s">
        <v>17</v>
      </c>
      <c r="B16" s="48" t="s">
        <v>15</v>
      </c>
      <c r="C16" s="45">
        <f t="shared" ref="C16:H16" si="7">C6-C11</f>
        <v>84372652.75999999</v>
      </c>
      <c r="D16" s="45">
        <f t="shared" si="7"/>
        <v>83339296.900000006</v>
      </c>
      <c r="E16" s="45">
        <f t="shared" si="7"/>
        <v>318345.36999999732</v>
      </c>
      <c r="F16" s="45">
        <f t="shared" si="7"/>
        <v>10160759.859999999</v>
      </c>
      <c r="G16" s="45">
        <f t="shared" si="7"/>
        <v>3614426.7333278265</v>
      </c>
      <c r="H16" s="45">
        <f t="shared" si="7"/>
        <v>248678.41000000015</v>
      </c>
      <c r="I16" s="46">
        <f t="shared" si="0"/>
        <v>7.2020732748623404</v>
      </c>
      <c r="J16" s="46">
        <f t="shared" si="1"/>
        <v>22.057403856480711</v>
      </c>
      <c r="K16" s="46">
        <f>IFERROR(((D16-H16)/H16),0)</f>
        <v>334.1287990782954</v>
      </c>
    </row>
    <row r="19" spans="4:4" x14ac:dyDescent="0.2">
      <c r="D19" s="79"/>
    </row>
  </sheetData>
  <autoFilter ref="A1:K16" xr:uid="{F22B6FB3-92F5-47B8-9A52-C7F6A5896A0F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431E-F113-453F-89B1-18533DE8DCB8}">
  <dimension ref="A1:J16"/>
  <sheetViews>
    <sheetView workbookViewId="0">
      <pane ySplit="1" topLeftCell="A2" activePane="bottomLeft" state="frozen"/>
      <selection pane="bottomLeft" activeCell="C4" sqref="C4"/>
    </sheetView>
  </sheetViews>
  <sheetFormatPr defaultRowHeight="14.25" x14ac:dyDescent="0.2"/>
  <cols>
    <col min="2" max="2" width="11.875" bestFit="1" customWidth="1"/>
    <col min="3" max="3" width="13.125" bestFit="1" customWidth="1"/>
    <col min="4" max="4" width="10.875" bestFit="1" customWidth="1"/>
    <col min="5" max="5" width="10.5" bestFit="1" customWidth="1"/>
    <col min="6" max="6" width="11.875" bestFit="1" customWidth="1"/>
    <col min="7" max="7" width="14.875" bestFit="1" customWidth="1"/>
    <col min="8" max="8" width="18.125" bestFit="1" customWidth="1"/>
    <col min="9" max="9" width="21.125" bestFit="1" customWidth="1"/>
    <col min="10" max="10" width="29.5" bestFit="1" customWidth="1"/>
  </cols>
  <sheetData>
    <row r="1" spans="1:10" ht="17.25" x14ac:dyDescent="0.4">
      <c r="A1" s="20" t="s">
        <v>20</v>
      </c>
      <c r="B1" s="20" t="s">
        <v>1</v>
      </c>
      <c r="C1" s="20" t="s">
        <v>2</v>
      </c>
      <c r="D1" s="21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spans="1:10" ht="17.25" x14ac:dyDescent="0.4">
      <c r="A2" s="8" t="s">
        <v>21</v>
      </c>
      <c r="B2" s="8" t="s">
        <v>10</v>
      </c>
      <c r="C2" s="9" t="s">
        <v>11</v>
      </c>
      <c r="D2" s="10">
        <v>22971266.550000001</v>
      </c>
      <c r="E2" s="10">
        <v>54786463.829999998</v>
      </c>
      <c r="F2" s="10">
        <v>69999703.176543593</v>
      </c>
      <c r="G2" s="10">
        <v>13772745</v>
      </c>
      <c r="H2" s="11">
        <f>(D2-E2)/E2</f>
        <v>-0.58071273551658975</v>
      </c>
      <c r="I2" s="11">
        <f t="shared" ref="I2:I16" si="0">(D2-F2)/F2</f>
        <v>-0.67183765776741888</v>
      </c>
      <c r="J2" s="11">
        <f>IFERROR(((D2-G2)/G2),0)</f>
        <v>0.66787859282953399</v>
      </c>
    </row>
    <row r="3" spans="1:10" ht="17.25" x14ac:dyDescent="0.4">
      <c r="A3" s="8" t="s">
        <v>21</v>
      </c>
      <c r="B3" s="8" t="s">
        <v>10</v>
      </c>
      <c r="C3" s="9" t="s">
        <v>12</v>
      </c>
      <c r="D3" s="10">
        <v>122628944</v>
      </c>
      <c r="E3" s="10">
        <v>97736585.780000001</v>
      </c>
      <c r="F3" s="10">
        <v>99756716.74660331</v>
      </c>
      <c r="G3" s="10">
        <v>575138</v>
      </c>
      <c r="H3" s="11">
        <f t="shared" ref="H3:H16" si="1">(D3-E3)/E3</f>
        <v>0.25468823185650674</v>
      </c>
      <c r="I3" s="11">
        <f t="shared" si="0"/>
        <v>0.22928007255386623</v>
      </c>
      <c r="J3" s="11">
        <f t="shared" ref="J3:J16" si="2">IFERROR(((D3-G3)/G3),0)</f>
        <v>212.21655672203889</v>
      </c>
    </row>
    <row r="4" spans="1:10" ht="17.25" x14ac:dyDescent="0.4">
      <c r="A4" s="8" t="s">
        <v>21</v>
      </c>
      <c r="B4" s="8" t="s">
        <v>10</v>
      </c>
      <c r="C4" s="9" t="s">
        <v>13</v>
      </c>
      <c r="D4" s="10">
        <v>12749761</v>
      </c>
      <c r="E4" s="10">
        <v>51788400.810000002</v>
      </c>
      <c r="F4" s="10">
        <v>65551757.108983703</v>
      </c>
      <c r="G4" s="10">
        <v>6358540</v>
      </c>
      <c r="H4" s="11">
        <f t="shared" si="1"/>
        <v>-0.75381049036876024</v>
      </c>
      <c r="I4" s="11">
        <f t="shared" si="0"/>
        <v>-0.80550085059043097</v>
      </c>
      <c r="J4" s="11">
        <f t="shared" si="2"/>
        <v>1.0051397018812496</v>
      </c>
    </row>
    <row r="5" spans="1:10" ht="17.25" x14ac:dyDescent="0.4">
      <c r="A5" s="8" t="s">
        <v>21</v>
      </c>
      <c r="B5" s="8" t="s">
        <v>10</v>
      </c>
      <c r="C5" s="9" t="s">
        <v>14</v>
      </c>
      <c r="D5" s="10">
        <v>17170532.739999998</v>
      </c>
      <c r="E5" s="10">
        <v>28411402.999999996</v>
      </c>
      <c r="F5" s="10">
        <v>30530460.479761086</v>
      </c>
      <c r="G5" s="10">
        <v>448683</v>
      </c>
      <c r="H5" s="11">
        <f t="shared" si="1"/>
        <v>-0.39564643322964371</v>
      </c>
      <c r="I5" s="11">
        <f t="shared" si="0"/>
        <v>-0.43759339131545372</v>
      </c>
      <c r="J5" s="11">
        <f t="shared" si="2"/>
        <v>37.268739265806815</v>
      </c>
    </row>
    <row r="6" spans="1:10" ht="17.25" x14ac:dyDescent="0.4">
      <c r="A6" s="8" t="s">
        <v>21</v>
      </c>
      <c r="B6" s="8" t="s">
        <v>10</v>
      </c>
      <c r="C6" s="9" t="s">
        <v>15</v>
      </c>
      <c r="D6" s="10">
        <v>269009.76</v>
      </c>
      <c r="E6" s="10">
        <v>1628427.92</v>
      </c>
      <c r="F6" s="10">
        <v>993469.82083264459</v>
      </c>
      <c r="G6" s="10"/>
      <c r="H6" s="11">
        <f t="shared" si="1"/>
        <v>-0.8348040114664701</v>
      </c>
      <c r="I6" s="11">
        <f t="shared" si="0"/>
        <v>-0.7292220112186818</v>
      </c>
      <c r="J6" s="11">
        <f t="shared" si="2"/>
        <v>0</v>
      </c>
    </row>
    <row r="7" spans="1:10" ht="17.25" x14ac:dyDescent="0.4">
      <c r="A7" s="8" t="s">
        <v>21</v>
      </c>
      <c r="B7" s="12" t="s">
        <v>16</v>
      </c>
      <c r="C7" s="12" t="s">
        <v>11</v>
      </c>
      <c r="D7" s="14">
        <v>17656279.600000001</v>
      </c>
      <c r="E7" s="14">
        <f>'[1]بيفت MARS'!C25</f>
        <v>423987000.44999999</v>
      </c>
      <c r="F7" s="14">
        <f>'[1]بيفت MARS'!D25</f>
        <v>426158003.68540996</v>
      </c>
      <c r="G7" s="14">
        <v>5319192</v>
      </c>
      <c r="H7" s="15">
        <f t="shared" si="1"/>
        <v>-0.95835655437251499</v>
      </c>
      <c r="I7" s="15">
        <f t="shared" si="0"/>
        <v>-0.95856870116879489</v>
      </c>
      <c r="J7" s="11">
        <f t="shared" si="2"/>
        <v>2.3193536913125152</v>
      </c>
    </row>
    <row r="8" spans="1:10" ht="17.25" x14ac:dyDescent="0.4">
      <c r="A8" s="8" t="s">
        <v>21</v>
      </c>
      <c r="B8" s="12" t="s">
        <v>16</v>
      </c>
      <c r="C8" s="12" t="s">
        <v>12</v>
      </c>
      <c r="D8" s="14">
        <v>78843010.840000004</v>
      </c>
      <c r="E8" s="14">
        <f>'[1]بيفت MARS'!C26</f>
        <v>60697628.700000003</v>
      </c>
      <c r="F8" s="14">
        <f>'[1]بيفت MARS'!D26</f>
        <v>72532529.683733717</v>
      </c>
      <c r="G8" s="14">
        <v>509507</v>
      </c>
      <c r="H8" s="15">
        <f t="shared" si="1"/>
        <v>0.29894713399240258</v>
      </c>
      <c r="I8" s="15">
        <f t="shared" si="0"/>
        <v>8.7002082841755451E-2</v>
      </c>
      <c r="J8" s="11">
        <f t="shared" si="2"/>
        <v>153.74372450231303</v>
      </c>
    </row>
    <row r="9" spans="1:10" ht="17.25" x14ac:dyDescent="0.4">
      <c r="A9" s="8" t="s">
        <v>21</v>
      </c>
      <c r="B9" s="12" t="s">
        <v>16</v>
      </c>
      <c r="C9" s="12" t="s">
        <v>13</v>
      </c>
      <c r="D9" s="14">
        <v>12291881</v>
      </c>
      <c r="E9" s="14">
        <f>'[1]بيفت MARS'!C27</f>
        <v>30409276.780000001</v>
      </c>
      <c r="F9" s="14">
        <f>'[1]بيفت MARS'!D27</f>
        <v>36279740.619000003</v>
      </c>
      <c r="G9" s="14">
        <v>6087790</v>
      </c>
      <c r="H9" s="15">
        <f t="shared" si="1"/>
        <v>-0.59578515829471168</v>
      </c>
      <c r="I9" s="15">
        <f t="shared" si="0"/>
        <v>-0.66119159645913672</v>
      </c>
      <c r="J9" s="11">
        <f t="shared" si="2"/>
        <v>1.0191039769768668</v>
      </c>
    </row>
    <row r="10" spans="1:10" ht="17.25" x14ac:dyDescent="0.4">
      <c r="A10" s="8" t="s">
        <v>21</v>
      </c>
      <c r="B10" s="12" t="s">
        <v>16</v>
      </c>
      <c r="C10" s="12" t="s">
        <v>14</v>
      </c>
      <c r="D10" s="14">
        <v>17155925.75</v>
      </c>
      <c r="E10" s="14">
        <f>'[1]بيفت MARS'!C28</f>
        <v>25865420.210000001</v>
      </c>
      <c r="F10" s="14">
        <f>'[1]بيفت MARS'!D28</f>
        <v>27885451.828266039</v>
      </c>
      <c r="G10" s="14">
        <v>448683</v>
      </c>
      <c r="H10" s="15">
        <f t="shared" si="1"/>
        <v>-0.33672348600131252</v>
      </c>
      <c r="I10" s="15">
        <f t="shared" si="0"/>
        <v>-0.38477146235048892</v>
      </c>
      <c r="J10" s="11">
        <f t="shared" si="2"/>
        <v>37.23618400964601</v>
      </c>
    </row>
    <row r="11" spans="1:10" ht="17.25" x14ac:dyDescent="0.4">
      <c r="A11" s="8" t="s">
        <v>21</v>
      </c>
      <c r="B11" s="12" t="s">
        <v>16</v>
      </c>
      <c r="C11" s="12" t="s">
        <v>15</v>
      </c>
      <c r="D11" s="14">
        <v>196255.76</v>
      </c>
      <c r="E11" s="14">
        <f>'[1]بيفت MARS'!C29</f>
        <v>333333</v>
      </c>
      <c r="F11" s="14">
        <f>'[1]بيفت MARS'!D29</f>
        <v>541666.54166666663</v>
      </c>
      <c r="G11" s="14"/>
      <c r="H11" s="15">
        <f t="shared" si="1"/>
        <v>-0.4112321312321312</v>
      </c>
      <c r="I11" s="15">
        <f t="shared" si="0"/>
        <v>-0.63768159023421311</v>
      </c>
      <c r="J11" s="11">
        <f t="shared" si="2"/>
        <v>0</v>
      </c>
    </row>
    <row r="12" spans="1:10" ht="17.25" x14ac:dyDescent="0.4">
      <c r="A12" s="8" t="s">
        <v>21</v>
      </c>
      <c r="B12" s="16" t="s">
        <v>17</v>
      </c>
      <c r="C12" s="16" t="s">
        <v>11</v>
      </c>
      <c r="D12" s="18">
        <f t="shared" ref="D12:G16" si="3">D2-D7</f>
        <v>5314986.9499999993</v>
      </c>
      <c r="E12" s="18">
        <f t="shared" si="3"/>
        <v>-369200536.62</v>
      </c>
      <c r="F12" s="18">
        <f t="shared" si="3"/>
        <v>-356158300.50886637</v>
      </c>
      <c r="G12" s="18">
        <f t="shared" si="3"/>
        <v>8453553</v>
      </c>
      <c r="H12" s="19">
        <f t="shared" si="1"/>
        <v>-1.0143959350618996</v>
      </c>
      <c r="I12" s="19">
        <f t="shared" si="0"/>
        <v>-1.0149231028517547</v>
      </c>
      <c r="J12" s="11">
        <f t="shared" si="2"/>
        <v>-0.37127182499476857</v>
      </c>
    </row>
    <row r="13" spans="1:10" ht="17.25" x14ac:dyDescent="0.4">
      <c r="A13" s="8" t="s">
        <v>21</v>
      </c>
      <c r="B13" s="16" t="s">
        <v>17</v>
      </c>
      <c r="C13" s="16" t="s">
        <v>12</v>
      </c>
      <c r="D13" s="18">
        <f t="shared" si="3"/>
        <v>43785933.159999996</v>
      </c>
      <c r="E13" s="18">
        <f t="shared" si="3"/>
        <v>37038957.079999998</v>
      </c>
      <c r="F13" s="18">
        <f t="shared" si="3"/>
        <v>27224187.062869594</v>
      </c>
      <c r="G13" s="18">
        <f t="shared" si="3"/>
        <v>65631</v>
      </c>
      <c r="H13" s="19">
        <f t="shared" si="1"/>
        <v>0.18215891083075816</v>
      </c>
      <c r="I13" s="19">
        <f t="shared" si="0"/>
        <v>0.60834676381277752</v>
      </c>
      <c r="J13" s="11">
        <f t="shared" si="2"/>
        <v>666.15322271487548</v>
      </c>
    </row>
    <row r="14" spans="1:10" ht="17.25" x14ac:dyDescent="0.4">
      <c r="A14" s="8" t="s">
        <v>21</v>
      </c>
      <c r="B14" s="16" t="s">
        <v>17</v>
      </c>
      <c r="C14" s="16" t="s">
        <v>13</v>
      </c>
      <c r="D14" s="18">
        <f t="shared" si="3"/>
        <v>457880</v>
      </c>
      <c r="E14" s="18">
        <f t="shared" si="3"/>
        <v>21379124.030000001</v>
      </c>
      <c r="F14" s="18">
        <f t="shared" si="3"/>
        <v>29272016.4899837</v>
      </c>
      <c r="G14" s="18">
        <f t="shared" si="3"/>
        <v>270750</v>
      </c>
      <c r="H14" s="19">
        <f t="shared" si="1"/>
        <v>-0.97858284561343645</v>
      </c>
      <c r="I14" s="19">
        <f t="shared" si="0"/>
        <v>-0.98435775683042959</v>
      </c>
      <c r="J14" s="11">
        <f t="shared" si="2"/>
        <v>0.69115420129270544</v>
      </c>
    </row>
    <row r="15" spans="1:10" ht="17.25" x14ac:dyDescent="0.4">
      <c r="A15" s="8" t="s">
        <v>21</v>
      </c>
      <c r="B15" s="16" t="s">
        <v>17</v>
      </c>
      <c r="C15" s="16" t="s">
        <v>14</v>
      </c>
      <c r="D15" s="18">
        <f t="shared" si="3"/>
        <v>14606.989999998361</v>
      </c>
      <c r="E15" s="18">
        <f t="shared" si="3"/>
        <v>2545982.7899999954</v>
      </c>
      <c r="F15" s="18">
        <f t="shared" si="3"/>
        <v>2645008.6514950469</v>
      </c>
      <c r="G15" s="18">
        <f t="shared" si="3"/>
        <v>0</v>
      </c>
      <c r="H15" s="19">
        <f t="shared" si="1"/>
        <v>-0.99426273026770995</v>
      </c>
      <c r="I15" s="19">
        <f t="shared" si="0"/>
        <v>-0.99447752657000121</v>
      </c>
      <c r="J15" s="11">
        <f t="shared" si="2"/>
        <v>0</v>
      </c>
    </row>
    <row r="16" spans="1:10" ht="17.25" x14ac:dyDescent="0.4">
      <c r="A16" s="8" t="s">
        <v>21</v>
      </c>
      <c r="B16" s="16" t="s">
        <v>17</v>
      </c>
      <c r="C16" s="16" t="s">
        <v>15</v>
      </c>
      <c r="D16" s="18">
        <f t="shared" si="3"/>
        <v>72754</v>
      </c>
      <c r="E16" s="18">
        <f t="shared" si="3"/>
        <v>1295094.92</v>
      </c>
      <c r="F16" s="18">
        <f t="shared" si="3"/>
        <v>451803.27916597796</v>
      </c>
      <c r="G16" s="18">
        <f t="shared" si="3"/>
        <v>0</v>
      </c>
      <c r="H16" s="19">
        <f t="shared" si="1"/>
        <v>-0.94382342261059904</v>
      </c>
      <c r="I16" s="19">
        <f t="shared" si="0"/>
        <v>-0.83896973892198656</v>
      </c>
      <c r="J16" s="11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50A0-A517-4167-BA6D-DB8639397740}">
  <dimension ref="A1:I41"/>
  <sheetViews>
    <sheetView workbookViewId="0">
      <pane ySplit="1" topLeftCell="A2" activePane="bottomLeft" state="frozen"/>
      <selection pane="bottomLeft" activeCell="D2" sqref="D2"/>
    </sheetView>
  </sheetViews>
  <sheetFormatPr defaultRowHeight="14.25" x14ac:dyDescent="0.2"/>
  <cols>
    <col min="1" max="1" width="11.875" bestFit="1" customWidth="1"/>
    <col min="2" max="2" width="27.375" customWidth="1"/>
    <col min="3" max="3" width="13.125" style="6" bestFit="1" customWidth="1"/>
    <col min="4" max="4" width="20.5" bestFit="1" customWidth="1"/>
    <col min="5" max="5" width="14.875" customWidth="1"/>
    <col min="6" max="6" width="18.875" customWidth="1"/>
    <col min="7" max="7" width="11.875" bestFit="1" customWidth="1"/>
    <col min="8" max="8" width="12" bestFit="1" customWidth="1"/>
    <col min="9" max="9" width="11" bestFit="1" customWidth="1"/>
  </cols>
  <sheetData>
    <row r="1" spans="1:9" ht="31.5" x14ac:dyDescent="0.4">
      <c r="A1" s="20" t="s">
        <v>1</v>
      </c>
      <c r="B1" s="7" t="s">
        <v>22</v>
      </c>
      <c r="C1" s="20" t="s">
        <v>2</v>
      </c>
      <c r="D1" s="66" t="s">
        <v>23</v>
      </c>
      <c r="E1" s="21" t="s">
        <v>3</v>
      </c>
      <c r="F1" s="20" t="s">
        <v>19</v>
      </c>
      <c r="G1" s="22" t="s">
        <v>24</v>
      </c>
    </row>
    <row r="2" spans="1:9" ht="17.25" x14ac:dyDescent="0.4">
      <c r="A2" s="12" t="s">
        <v>16</v>
      </c>
      <c r="B2" s="12" t="s">
        <v>25</v>
      </c>
      <c r="C2" s="13" t="s">
        <v>11</v>
      </c>
      <c r="D2" s="14">
        <v>152713467.72</v>
      </c>
      <c r="E2" s="14">
        <v>101700273.22</v>
      </c>
      <c r="F2" s="14">
        <v>23344336.850000001</v>
      </c>
      <c r="G2" s="14">
        <v>125044610.06999999</v>
      </c>
      <c r="H2" s="35"/>
      <c r="I2" s="35"/>
    </row>
    <row r="3" spans="1:9" ht="17.25" x14ac:dyDescent="0.4">
      <c r="A3" s="12" t="s">
        <v>16</v>
      </c>
      <c r="B3" s="12" t="s">
        <v>25</v>
      </c>
      <c r="C3" s="13" t="s">
        <v>12</v>
      </c>
      <c r="D3" s="14">
        <v>174116263.66</v>
      </c>
      <c r="E3" s="14">
        <v>162587853.75</v>
      </c>
      <c r="F3" s="14">
        <v>2391206.59</v>
      </c>
      <c r="G3" s="14">
        <v>164979060.34</v>
      </c>
      <c r="H3" s="35"/>
      <c r="I3" s="35"/>
    </row>
    <row r="4" spans="1:9" ht="17.25" x14ac:dyDescent="0.4">
      <c r="A4" s="12" t="s">
        <v>16</v>
      </c>
      <c r="B4" s="12" t="s">
        <v>25</v>
      </c>
      <c r="C4" s="13" t="s">
        <v>13</v>
      </c>
      <c r="D4" s="14">
        <v>101995267</v>
      </c>
      <c r="E4" s="14">
        <v>20549896</v>
      </c>
      <c r="F4" s="14">
        <v>32295056</v>
      </c>
      <c r="G4" s="14">
        <v>52844952</v>
      </c>
      <c r="H4" s="35"/>
      <c r="I4" s="35"/>
    </row>
    <row r="5" spans="1:9" ht="17.25" x14ac:dyDescent="0.4">
      <c r="A5" s="12" t="s">
        <v>16</v>
      </c>
      <c r="B5" s="12" t="s">
        <v>25</v>
      </c>
      <c r="C5" s="13" t="s">
        <v>14</v>
      </c>
      <c r="D5" s="14">
        <v>919643.8</v>
      </c>
      <c r="E5" s="14">
        <v>860000</v>
      </c>
      <c r="F5" s="14">
        <v>30000</v>
      </c>
      <c r="G5" s="14">
        <v>890000</v>
      </c>
    </row>
    <row r="6" spans="1:9" ht="17.25" x14ac:dyDescent="0.4">
      <c r="A6" s="12" t="s">
        <v>16</v>
      </c>
      <c r="B6" s="12" t="s">
        <v>26</v>
      </c>
      <c r="C6" s="13" t="s">
        <v>11</v>
      </c>
      <c r="D6" s="14">
        <v>65754098.969999999</v>
      </c>
      <c r="E6" s="14">
        <v>45948457.109999999</v>
      </c>
      <c r="F6" s="14">
        <v>10438963.199999999</v>
      </c>
      <c r="G6" s="14">
        <v>56387420.310000002</v>
      </c>
      <c r="H6" s="35"/>
    </row>
    <row r="7" spans="1:9" ht="17.25" x14ac:dyDescent="0.4">
      <c r="A7" s="12" t="s">
        <v>16</v>
      </c>
      <c r="B7" s="12" t="s">
        <v>26</v>
      </c>
      <c r="C7" s="13" t="s">
        <v>12</v>
      </c>
      <c r="D7" s="14">
        <v>132939118.44</v>
      </c>
      <c r="E7" s="14">
        <v>126655031.87</v>
      </c>
      <c r="F7" s="14">
        <v>2173257.6</v>
      </c>
      <c r="G7" s="14">
        <v>128828289.47</v>
      </c>
      <c r="H7" s="35"/>
      <c r="I7" s="35"/>
    </row>
    <row r="8" spans="1:9" ht="17.25" x14ac:dyDescent="0.4">
      <c r="A8" s="12" t="s">
        <v>16</v>
      </c>
      <c r="B8" s="12" t="s">
        <v>26</v>
      </c>
      <c r="C8" s="13" t="s">
        <v>13</v>
      </c>
      <c r="D8" s="14">
        <v>187757054</v>
      </c>
      <c r="E8" s="14">
        <v>39030619</v>
      </c>
      <c r="F8" s="14">
        <v>20381276</v>
      </c>
      <c r="G8" s="14">
        <v>59411895</v>
      </c>
      <c r="H8" s="35"/>
      <c r="I8" s="35"/>
    </row>
    <row r="9" spans="1:9" ht="17.25" x14ac:dyDescent="0.4">
      <c r="A9" s="12" t="s">
        <v>16</v>
      </c>
      <c r="B9" s="12" t="s">
        <v>26</v>
      </c>
      <c r="C9" s="13" t="s">
        <v>14</v>
      </c>
      <c r="D9" s="14">
        <v>2400000</v>
      </c>
      <c r="E9" s="14">
        <v>2380000</v>
      </c>
      <c r="F9" s="14">
        <v>70000</v>
      </c>
      <c r="G9" s="14">
        <v>2450000</v>
      </c>
    </row>
    <row r="10" spans="1:9" ht="17.25" x14ac:dyDescent="0.4">
      <c r="A10" s="12" t="s">
        <v>16</v>
      </c>
      <c r="B10" s="12" t="s">
        <v>27</v>
      </c>
      <c r="C10" s="13" t="s">
        <v>11</v>
      </c>
      <c r="D10" s="14">
        <v>48659690.079999998</v>
      </c>
      <c r="E10" s="14">
        <v>38816584.840000004</v>
      </c>
      <c r="F10" s="14">
        <v>11688438.24</v>
      </c>
      <c r="G10" s="14">
        <v>50505023.080000006</v>
      </c>
      <c r="H10" s="35"/>
    </row>
    <row r="11" spans="1:9" ht="17.25" x14ac:dyDescent="0.4">
      <c r="A11" s="12" t="s">
        <v>16</v>
      </c>
      <c r="B11" s="12" t="s">
        <v>27</v>
      </c>
      <c r="C11" s="13" t="s">
        <v>12</v>
      </c>
      <c r="D11" s="14">
        <v>104955785.05</v>
      </c>
      <c r="E11" s="14">
        <v>101241594.78</v>
      </c>
      <c r="F11" s="14">
        <v>1670868.55</v>
      </c>
      <c r="G11" s="14">
        <v>102912463.33</v>
      </c>
      <c r="H11" s="35"/>
      <c r="I11" s="35"/>
    </row>
    <row r="12" spans="1:9" ht="17.25" x14ac:dyDescent="0.4">
      <c r="A12" s="12" t="s">
        <v>16</v>
      </c>
      <c r="B12" s="12" t="s">
        <v>27</v>
      </c>
      <c r="C12" s="13" t="s">
        <v>13</v>
      </c>
      <c r="D12" s="14">
        <v>115785762</v>
      </c>
      <c r="E12" s="14">
        <v>21823278</v>
      </c>
      <c r="F12" s="14">
        <v>18050794</v>
      </c>
      <c r="G12" s="14">
        <v>39874072</v>
      </c>
      <c r="H12" s="35"/>
      <c r="I12" s="35"/>
    </row>
    <row r="13" spans="1:9" ht="17.25" x14ac:dyDescent="0.4">
      <c r="A13" s="12" t="s">
        <v>16</v>
      </c>
      <c r="B13" s="12" t="s">
        <v>27</v>
      </c>
      <c r="C13" s="13" t="s">
        <v>14</v>
      </c>
      <c r="D13" s="14">
        <v>2750000</v>
      </c>
      <c r="E13" s="14">
        <v>2750000</v>
      </c>
      <c r="F13" s="14">
        <v>70000</v>
      </c>
      <c r="G13" s="14">
        <v>2820000</v>
      </c>
    </row>
    <row r="14" spans="1:9" ht="17.25" x14ac:dyDescent="0.4">
      <c r="A14" s="12" t="s">
        <v>16</v>
      </c>
      <c r="B14" s="12" t="s">
        <v>28</v>
      </c>
      <c r="C14" s="13" t="s">
        <v>11</v>
      </c>
      <c r="D14" s="14">
        <v>33421668.379999999</v>
      </c>
      <c r="E14" s="14">
        <v>25149230.870000001</v>
      </c>
      <c r="F14" s="14">
        <v>4396579.41</v>
      </c>
      <c r="G14" s="14">
        <v>29545810.280000001</v>
      </c>
      <c r="H14" s="35"/>
    </row>
    <row r="15" spans="1:9" ht="17.25" x14ac:dyDescent="0.4">
      <c r="A15" s="12" t="s">
        <v>16</v>
      </c>
      <c r="B15" s="12" t="s">
        <v>28</v>
      </c>
      <c r="C15" s="13" t="s">
        <v>12</v>
      </c>
      <c r="D15" s="14">
        <v>90127560.920000002</v>
      </c>
      <c r="E15" s="14">
        <v>86687258.329999998</v>
      </c>
      <c r="F15" s="14">
        <v>1226565.1499999999</v>
      </c>
      <c r="G15" s="14">
        <v>87913823.480000004</v>
      </c>
      <c r="H15" s="35"/>
      <c r="I15" s="35"/>
    </row>
    <row r="16" spans="1:9" ht="17.25" x14ac:dyDescent="0.4">
      <c r="A16" s="12" t="s">
        <v>16</v>
      </c>
      <c r="B16" s="12" t="s">
        <v>28</v>
      </c>
      <c r="C16" s="13" t="s">
        <v>13</v>
      </c>
      <c r="D16" s="14">
        <v>95451774.299999997</v>
      </c>
      <c r="E16" s="14">
        <v>19115095</v>
      </c>
      <c r="F16" s="14">
        <v>20204397</v>
      </c>
      <c r="G16" s="14">
        <v>39319492</v>
      </c>
      <c r="H16" s="35"/>
      <c r="I16" s="35"/>
    </row>
    <row r="17" spans="1:9" ht="17.25" x14ac:dyDescent="0.4">
      <c r="A17" s="12" t="s">
        <v>16</v>
      </c>
      <c r="B17" s="12" t="s">
        <v>28</v>
      </c>
      <c r="C17" s="13" t="s">
        <v>14</v>
      </c>
      <c r="D17" s="14">
        <v>1150000</v>
      </c>
      <c r="E17" s="14">
        <v>1120000</v>
      </c>
      <c r="F17" s="14">
        <v>20000</v>
      </c>
      <c r="G17" s="14">
        <v>1140000</v>
      </c>
    </row>
    <row r="18" spans="1:9" ht="17.25" x14ac:dyDescent="0.4">
      <c r="A18" s="12" t="s">
        <v>16</v>
      </c>
      <c r="B18" s="12" t="s">
        <v>29</v>
      </c>
      <c r="C18" s="13" t="s">
        <v>11</v>
      </c>
      <c r="D18" s="14">
        <v>58680362.25</v>
      </c>
      <c r="E18" s="14">
        <v>47871273</v>
      </c>
      <c r="F18" s="14">
        <v>18156620.5</v>
      </c>
      <c r="G18" s="14">
        <v>66027893.5</v>
      </c>
      <c r="H18" s="35"/>
    </row>
    <row r="19" spans="1:9" ht="17.25" x14ac:dyDescent="0.4">
      <c r="A19" s="12" t="s">
        <v>16</v>
      </c>
      <c r="B19" s="12" t="s">
        <v>29</v>
      </c>
      <c r="C19" s="13" t="s">
        <v>12</v>
      </c>
      <c r="D19" s="14">
        <v>189202402.22</v>
      </c>
      <c r="E19" s="14">
        <v>181970501.00999999</v>
      </c>
      <c r="F19" s="14">
        <v>3427820.35</v>
      </c>
      <c r="G19" s="14">
        <v>185398321.35999998</v>
      </c>
      <c r="H19" s="35"/>
      <c r="I19" s="35"/>
    </row>
    <row r="20" spans="1:9" ht="17.25" x14ac:dyDescent="0.4">
      <c r="A20" s="12" t="s">
        <v>16</v>
      </c>
      <c r="B20" s="12" t="s">
        <v>29</v>
      </c>
      <c r="C20" s="13" t="s">
        <v>13</v>
      </c>
      <c r="D20" s="14">
        <v>103800198</v>
      </c>
      <c r="E20" s="14">
        <v>24374100</v>
      </c>
      <c r="F20" s="14">
        <v>31794704</v>
      </c>
      <c r="G20" s="14">
        <v>56168804</v>
      </c>
      <c r="H20" s="35"/>
      <c r="I20" s="35"/>
    </row>
    <row r="21" spans="1:9" ht="17.25" x14ac:dyDescent="0.4">
      <c r="A21" s="12" t="s">
        <v>16</v>
      </c>
      <c r="B21" s="12" t="s">
        <v>29</v>
      </c>
      <c r="C21" s="13" t="s">
        <v>14</v>
      </c>
      <c r="D21" s="14">
        <v>5919693.9400000004</v>
      </c>
      <c r="E21" s="14">
        <v>5859666.6600000001</v>
      </c>
      <c r="F21" s="14">
        <v>150000</v>
      </c>
      <c r="G21" s="14">
        <v>6009666.6600000001</v>
      </c>
    </row>
    <row r="22" spans="1:9" ht="17.25" x14ac:dyDescent="0.4">
      <c r="A22" s="16" t="s">
        <v>17</v>
      </c>
      <c r="B22" s="16" t="s">
        <v>30</v>
      </c>
      <c r="C22" s="17" t="s">
        <v>11</v>
      </c>
      <c r="D22" s="30">
        <v>20037314.350000001</v>
      </c>
      <c r="E22" s="30">
        <v>17030636.48</v>
      </c>
      <c r="F22" s="30">
        <v>5385717.7000000002</v>
      </c>
      <c r="G22" s="30">
        <v>22416354.18</v>
      </c>
      <c r="H22" s="35"/>
    </row>
    <row r="23" spans="1:9" ht="17.25" x14ac:dyDescent="0.4">
      <c r="A23" s="16" t="s">
        <v>17</v>
      </c>
      <c r="B23" s="16" t="s">
        <v>30</v>
      </c>
      <c r="C23" s="17" t="s">
        <v>12</v>
      </c>
      <c r="D23" s="30">
        <v>21476799.620000001</v>
      </c>
      <c r="E23" s="30">
        <v>20447155.059999999</v>
      </c>
      <c r="F23" s="30">
        <v>409707.39</v>
      </c>
      <c r="G23" s="30">
        <v>20856862.449999999</v>
      </c>
      <c r="H23" s="35"/>
    </row>
    <row r="24" spans="1:9" ht="17.25" x14ac:dyDescent="0.4">
      <c r="A24" s="16" t="s">
        <v>17</v>
      </c>
      <c r="B24" s="16" t="s">
        <v>30</v>
      </c>
      <c r="C24" s="17" t="s">
        <v>13</v>
      </c>
      <c r="D24" s="30">
        <v>10690283</v>
      </c>
      <c r="E24" s="30">
        <v>2769050</v>
      </c>
      <c r="F24" s="30">
        <v>1125790</v>
      </c>
      <c r="G24" s="30">
        <v>3894840</v>
      </c>
      <c r="H24" s="35"/>
      <c r="I24" s="35"/>
    </row>
    <row r="25" spans="1:9" ht="17.25" x14ac:dyDescent="0.4">
      <c r="A25" s="16" t="s">
        <v>17</v>
      </c>
      <c r="B25" s="16" t="s">
        <v>30</v>
      </c>
      <c r="C25" s="17" t="s">
        <v>14</v>
      </c>
      <c r="D25" s="30">
        <v>971308.95</v>
      </c>
      <c r="E25" s="30">
        <v>783831.64</v>
      </c>
      <c r="F25" s="30">
        <v>77328.13</v>
      </c>
      <c r="G25" s="30">
        <v>861159.77</v>
      </c>
    </row>
    <row r="26" spans="1:9" ht="17.25" x14ac:dyDescent="0.4">
      <c r="A26" s="16" t="s">
        <v>17</v>
      </c>
      <c r="B26" s="16" t="s">
        <v>31</v>
      </c>
      <c r="C26" s="17" t="s">
        <v>11</v>
      </c>
      <c r="D26" s="30">
        <v>66266416.82</v>
      </c>
      <c r="E26" s="30">
        <v>40301477.189999998</v>
      </c>
      <c r="F26" s="30">
        <v>22465963.739999998</v>
      </c>
      <c r="G26" s="30">
        <v>62767440.929999992</v>
      </c>
      <c r="H26" s="35"/>
    </row>
    <row r="27" spans="1:9" ht="17.25" x14ac:dyDescent="0.4">
      <c r="A27" s="16" t="s">
        <v>17</v>
      </c>
      <c r="B27" s="16" t="s">
        <v>31</v>
      </c>
      <c r="C27" s="17" t="s">
        <v>12</v>
      </c>
      <c r="D27" s="30">
        <v>33883047.149999999</v>
      </c>
      <c r="E27" s="30">
        <v>31847919.859999999</v>
      </c>
      <c r="F27" s="30">
        <v>1031660.35</v>
      </c>
      <c r="G27" s="30">
        <v>32879580.210000001</v>
      </c>
      <c r="H27" s="35"/>
    </row>
    <row r="28" spans="1:9" ht="17.25" x14ac:dyDescent="0.4">
      <c r="A28" s="16" t="s">
        <v>17</v>
      </c>
      <c r="B28" s="16" t="s">
        <v>31</v>
      </c>
      <c r="C28" s="17" t="s">
        <v>13</v>
      </c>
      <c r="D28" s="30">
        <v>7382735</v>
      </c>
      <c r="E28" s="30">
        <v>2744510</v>
      </c>
      <c r="F28" s="30">
        <v>2324405</v>
      </c>
      <c r="G28" s="30">
        <v>5068915</v>
      </c>
      <c r="H28" s="35"/>
      <c r="I28" s="35"/>
    </row>
    <row r="29" spans="1:9" ht="17.25" x14ac:dyDescent="0.4">
      <c r="A29" s="16" t="s">
        <v>17</v>
      </c>
      <c r="B29" s="16" t="s">
        <v>31</v>
      </c>
      <c r="C29" s="17" t="s">
        <v>14</v>
      </c>
      <c r="D29" s="30">
        <v>1847511.9</v>
      </c>
      <c r="E29" s="30">
        <v>1630573.27</v>
      </c>
      <c r="F29" s="30">
        <v>299977.90999999997</v>
      </c>
      <c r="G29" s="30">
        <v>1930551.18</v>
      </c>
    </row>
    <row r="30" spans="1:9" ht="17.25" x14ac:dyDescent="0.4">
      <c r="A30" s="16" t="s">
        <v>17</v>
      </c>
      <c r="B30" s="16" t="s">
        <v>32</v>
      </c>
      <c r="C30" s="17" t="s">
        <v>11</v>
      </c>
      <c r="D30" s="30">
        <v>56103517.869999997</v>
      </c>
      <c r="E30" s="30">
        <v>37143511.079999998</v>
      </c>
      <c r="F30" s="30">
        <v>24269866.93</v>
      </c>
      <c r="G30" s="30">
        <v>61413378.009999998</v>
      </c>
      <c r="H30" s="35"/>
    </row>
    <row r="31" spans="1:9" ht="17.25" x14ac:dyDescent="0.4">
      <c r="A31" s="16" t="s">
        <v>17</v>
      </c>
      <c r="B31" s="16" t="s">
        <v>32</v>
      </c>
      <c r="C31" s="17" t="s">
        <v>12</v>
      </c>
      <c r="D31" s="30">
        <v>20227692.280000001</v>
      </c>
      <c r="E31" s="30">
        <v>19124127.449999999</v>
      </c>
      <c r="F31" s="30">
        <v>782684.13</v>
      </c>
      <c r="G31" s="30">
        <v>19906811.579999998</v>
      </c>
      <c r="H31" s="35"/>
    </row>
    <row r="32" spans="1:9" ht="17.25" x14ac:dyDescent="0.4">
      <c r="A32" s="16" t="s">
        <v>17</v>
      </c>
      <c r="B32" s="16" t="s">
        <v>32</v>
      </c>
      <c r="C32" s="17" t="s">
        <v>13</v>
      </c>
      <c r="D32" s="30">
        <v>5388660</v>
      </c>
      <c r="E32" s="30">
        <v>1567885</v>
      </c>
      <c r="F32" s="30">
        <v>2031535</v>
      </c>
      <c r="G32" s="30">
        <v>3599420</v>
      </c>
      <c r="H32" s="35"/>
      <c r="I32" s="35"/>
    </row>
    <row r="33" spans="1:9" ht="17.25" x14ac:dyDescent="0.4">
      <c r="A33" s="16" t="s">
        <v>17</v>
      </c>
      <c r="B33" s="16" t="s">
        <v>32</v>
      </c>
      <c r="C33" s="17" t="s">
        <v>14</v>
      </c>
      <c r="D33" s="30">
        <v>523667.39</v>
      </c>
      <c r="E33" s="30">
        <v>419548.11</v>
      </c>
      <c r="F33" s="30">
        <v>80863.12</v>
      </c>
      <c r="G33" s="30">
        <v>500411.23</v>
      </c>
    </row>
    <row r="34" spans="1:9" ht="17.25" x14ac:dyDescent="0.4">
      <c r="A34" s="16" t="s">
        <v>17</v>
      </c>
      <c r="B34" s="16" t="s">
        <v>33</v>
      </c>
      <c r="C34" s="17" t="s">
        <v>11</v>
      </c>
      <c r="D34" s="30">
        <v>40085826.759999998</v>
      </c>
      <c r="E34" s="30">
        <v>25542072.850000001</v>
      </c>
      <c r="F34" s="30">
        <v>11101697.66</v>
      </c>
      <c r="G34" s="30">
        <v>36643770.510000005</v>
      </c>
      <c r="H34" s="35"/>
    </row>
    <row r="35" spans="1:9" ht="17.25" x14ac:dyDescent="0.4">
      <c r="A35" s="16" t="s">
        <v>17</v>
      </c>
      <c r="B35" s="16" t="s">
        <v>33</v>
      </c>
      <c r="C35" s="17" t="s">
        <v>12</v>
      </c>
      <c r="D35" s="30">
        <v>9082007</v>
      </c>
      <c r="E35" s="30">
        <v>8677369.5299999993</v>
      </c>
      <c r="F35" s="30">
        <v>462058.72</v>
      </c>
      <c r="G35" s="30">
        <v>9139428.25</v>
      </c>
      <c r="H35" s="35"/>
    </row>
    <row r="36" spans="1:9" ht="17.25" x14ac:dyDescent="0.4">
      <c r="A36" s="16" t="s">
        <v>17</v>
      </c>
      <c r="B36" s="16" t="s">
        <v>33</v>
      </c>
      <c r="C36" s="17" t="s">
        <v>13</v>
      </c>
      <c r="D36" s="30">
        <v>2517940</v>
      </c>
      <c r="E36" s="30">
        <v>977680</v>
      </c>
      <c r="F36" s="30">
        <v>744150</v>
      </c>
      <c r="G36" s="30">
        <v>1721830</v>
      </c>
      <c r="H36" s="35"/>
      <c r="I36" s="35"/>
    </row>
    <row r="37" spans="1:9" ht="17.25" x14ac:dyDescent="0.4">
      <c r="A37" s="16" t="s">
        <v>17</v>
      </c>
      <c r="B37" s="16" t="s">
        <v>33</v>
      </c>
      <c r="C37" s="17" t="s">
        <v>14</v>
      </c>
      <c r="D37" s="30">
        <v>366323.63</v>
      </c>
      <c r="E37" s="30">
        <v>279274.09999999998</v>
      </c>
      <c r="F37" s="30">
        <v>30405.25</v>
      </c>
      <c r="G37" s="30">
        <v>309679.34999999998</v>
      </c>
    </row>
    <row r="38" spans="1:9" ht="17.25" x14ac:dyDescent="0.4">
      <c r="A38" s="16" t="s">
        <v>17</v>
      </c>
      <c r="B38" s="16" t="s">
        <v>34</v>
      </c>
      <c r="C38" s="17" t="s">
        <v>11</v>
      </c>
      <c r="D38" s="30">
        <v>6203849.6200000001</v>
      </c>
      <c r="E38" s="30">
        <v>2290095</v>
      </c>
      <c r="F38" s="30">
        <v>5574241.5</v>
      </c>
      <c r="G38" s="30">
        <v>7864336.5</v>
      </c>
      <c r="H38" s="35"/>
    </row>
    <row r="39" spans="1:9" ht="17.25" x14ac:dyDescent="0.4">
      <c r="A39" s="16" t="s">
        <v>17</v>
      </c>
      <c r="B39" s="16" t="s">
        <v>34</v>
      </c>
      <c r="C39" s="17" t="s">
        <v>12</v>
      </c>
      <c r="D39" s="30">
        <v>2304824.7200000002</v>
      </c>
      <c r="E39" s="30">
        <v>2170179.5499999998</v>
      </c>
      <c r="F39" s="30">
        <v>316895.96999999997</v>
      </c>
      <c r="G39" s="30">
        <v>2487075.5199999996</v>
      </c>
      <c r="H39" s="35"/>
    </row>
    <row r="40" spans="1:9" ht="17.25" x14ac:dyDescent="0.4">
      <c r="A40" s="16" t="s">
        <v>17</v>
      </c>
      <c r="B40" s="16" t="s">
        <v>34</v>
      </c>
      <c r="C40" s="17" t="s">
        <v>13</v>
      </c>
      <c r="D40" s="30">
        <v>504850</v>
      </c>
      <c r="E40" s="30">
        <v>232900</v>
      </c>
      <c r="F40" s="30">
        <v>155390</v>
      </c>
      <c r="G40" s="30">
        <v>388290</v>
      </c>
      <c r="H40" s="35"/>
      <c r="I40" s="35"/>
    </row>
    <row r="41" spans="1:9" ht="17.25" x14ac:dyDescent="0.4">
      <c r="A41" s="16" t="s">
        <v>17</v>
      </c>
      <c r="B41" s="16" t="s">
        <v>34</v>
      </c>
      <c r="C41" s="17" t="s">
        <v>14</v>
      </c>
      <c r="D41" s="30">
        <v>1152034.21</v>
      </c>
      <c r="E41" s="30">
        <v>1065349.46</v>
      </c>
      <c r="F41" s="30">
        <v>7650.73</v>
      </c>
      <c r="G41" s="30">
        <v>1073000.19</v>
      </c>
    </row>
  </sheetData>
  <autoFilter ref="A1:G41" xr:uid="{B37A50A0-A517-4167-BA6D-DB863939774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AC00-023A-4B5F-ACAE-DD91365A5275}">
  <dimension ref="A1:O7"/>
  <sheetViews>
    <sheetView workbookViewId="0">
      <pane ySplit="1" topLeftCell="A2" activePane="bottomLeft" state="frozen"/>
      <selection pane="bottomLeft" activeCell="C8" sqref="C8"/>
    </sheetView>
  </sheetViews>
  <sheetFormatPr defaultRowHeight="14.25" x14ac:dyDescent="0.2"/>
  <cols>
    <col min="1" max="1" width="10.875" bestFit="1" customWidth="1"/>
    <col min="2" max="2" width="36.875" bestFit="1" customWidth="1"/>
    <col min="3" max="3" width="11.875" bestFit="1" customWidth="1"/>
    <col min="4" max="6" width="18.5" customWidth="1"/>
    <col min="8" max="8" width="12" bestFit="1" customWidth="1"/>
    <col min="9" max="9" width="18.125" bestFit="1" customWidth="1"/>
    <col min="10" max="10" width="18.5" bestFit="1" customWidth="1"/>
    <col min="12" max="12" width="11.875" bestFit="1" customWidth="1"/>
    <col min="15" max="15" width="15.875" bestFit="1" customWidth="1"/>
  </cols>
  <sheetData>
    <row r="1" spans="1:15" ht="18" x14ac:dyDescent="0.45">
      <c r="A1" s="24" t="s">
        <v>35</v>
      </c>
      <c r="B1" s="24" t="s">
        <v>36</v>
      </c>
      <c r="C1" s="25" t="s">
        <v>3</v>
      </c>
      <c r="D1" s="25" t="s">
        <v>4</v>
      </c>
      <c r="E1" s="25" t="s">
        <v>5</v>
      </c>
      <c r="F1" s="25" t="s">
        <v>6</v>
      </c>
      <c r="I1" s="33" t="s">
        <v>37</v>
      </c>
      <c r="J1" s="33" t="s">
        <v>38</v>
      </c>
      <c r="O1" s="29">
        <v>570093120.25999999</v>
      </c>
    </row>
    <row r="2" spans="1:15" ht="18" x14ac:dyDescent="0.45">
      <c r="A2" s="26">
        <v>14155</v>
      </c>
      <c r="B2" s="27" t="s">
        <v>39</v>
      </c>
      <c r="C2" s="28">
        <v>612328416.95999992</v>
      </c>
      <c r="D2" s="28">
        <v>398301586.94000006</v>
      </c>
      <c r="E2" s="28">
        <v>377185574.51964617</v>
      </c>
      <c r="F2" s="28">
        <v>408555385.07999998</v>
      </c>
      <c r="H2" s="35"/>
      <c r="I2" s="34">
        <f>(C2+C3+C4+C5+C6+C7)-J2</f>
        <v>880054632.66999972</v>
      </c>
      <c r="J2" s="34">
        <f>'الايراد حتى تاريخه'!E2</f>
        <v>172092270.25999999</v>
      </c>
    </row>
    <row r="3" spans="1:15" ht="18" x14ac:dyDescent="0.45">
      <c r="A3" s="26">
        <v>142162</v>
      </c>
      <c r="B3" s="27" t="s">
        <v>40</v>
      </c>
      <c r="C3" s="28">
        <v>428392037.76999992</v>
      </c>
      <c r="D3" s="28">
        <v>461140531.56</v>
      </c>
      <c r="E3" s="28">
        <v>515164612.05135435</v>
      </c>
      <c r="F3" s="28">
        <v>297547132.68000001</v>
      </c>
      <c r="H3" s="35"/>
      <c r="I3" s="35"/>
    </row>
    <row r="4" spans="1:15" ht="18" x14ac:dyDescent="0.45">
      <c r="A4" s="26">
        <v>142163</v>
      </c>
      <c r="B4" s="27" t="s">
        <v>41</v>
      </c>
      <c r="C4" s="28">
        <v>9866784.2599999998</v>
      </c>
      <c r="D4" s="28">
        <v>35586540.170000002</v>
      </c>
      <c r="E4" s="28">
        <v>35972774.719803475</v>
      </c>
      <c r="F4" s="28">
        <v>1176294.25</v>
      </c>
      <c r="H4" s="35"/>
    </row>
    <row r="5" spans="1:15" ht="18" x14ac:dyDescent="0.45">
      <c r="A5" s="26">
        <v>1421912</v>
      </c>
      <c r="B5" s="27" t="s">
        <v>42</v>
      </c>
      <c r="C5" s="28">
        <v>1356112.55</v>
      </c>
      <c r="D5" s="28">
        <v>1129498.7799999998</v>
      </c>
      <c r="E5" s="28">
        <v>1650904.7605284664</v>
      </c>
      <c r="F5" s="28">
        <v>1626207.82</v>
      </c>
      <c r="H5" s="35"/>
    </row>
    <row r="6" spans="1:15" ht="18" x14ac:dyDescent="0.45">
      <c r="A6" s="26">
        <v>1421903</v>
      </c>
      <c r="B6" s="27" t="s">
        <v>43</v>
      </c>
      <c r="C6" s="28">
        <v>143551.38999999998</v>
      </c>
      <c r="D6" s="28">
        <v>1458401</v>
      </c>
      <c r="E6" s="28">
        <v>1458401</v>
      </c>
      <c r="F6" s="28">
        <v>1507854.5199999998</v>
      </c>
    </row>
    <row r="7" spans="1:15" ht="18" x14ac:dyDescent="0.45">
      <c r="A7" s="26">
        <v>141229</v>
      </c>
      <c r="B7" s="27" t="s">
        <v>44</v>
      </c>
      <c r="C7" s="28">
        <v>60000</v>
      </c>
      <c r="D7" s="28">
        <v>30000000</v>
      </c>
      <c r="E7" s="28">
        <v>30000000</v>
      </c>
      <c r="F7" s="28">
        <v>30000</v>
      </c>
    </row>
  </sheetData>
  <autoFilter ref="A1:F7" xr:uid="{DF8AAC00-023A-4B5F-ACAE-DD91365A5275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3000-6C2C-43DC-BDE0-D621295E296F}">
  <dimension ref="A1:J7"/>
  <sheetViews>
    <sheetView workbookViewId="0">
      <pane ySplit="1" topLeftCell="A2" activePane="bottomLeft" state="frozen"/>
      <selection activeCell="B1" sqref="B1"/>
      <selection pane="bottomLeft" activeCell="F8" sqref="F8"/>
    </sheetView>
  </sheetViews>
  <sheetFormatPr defaultRowHeight="14.25" x14ac:dyDescent="0.2"/>
  <cols>
    <col min="1" max="1" width="15.125" bestFit="1" customWidth="1"/>
    <col min="2" max="2" width="28.875" style="6" bestFit="1" customWidth="1"/>
    <col min="3" max="3" width="12.125" style="6" bestFit="1" customWidth="1"/>
    <col min="4" max="4" width="11.875" style="6" bestFit="1" customWidth="1"/>
    <col min="5" max="5" width="15.125" style="6" bestFit="1" customWidth="1"/>
    <col min="6" max="6" width="13.5" style="6" bestFit="1" customWidth="1"/>
    <col min="7" max="7" width="12.5" style="6" customWidth="1"/>
    <col min="8" max="8" width="19.125" style="6" customWidth="1"/>
    <col min="9" max="10" width="12" bestFit="1" customWidth="1"/>
  </cols>
  <sheetData>
    <row r="1" spans="1:10" ht="18" x14ac:dyDescent="0.45">
      <c r="A1" s="24" t="s">
        <v>2</v>
      </c>
      <c r="B1" s="24" t="s">
        <v>36</v>
      </c>
      <c r="C1" s="20" t="s">
        <v>18</v>
      </c>
      <c r="D1" s="21" t="s">
        <v>3</v>
      </c>
      <c r="E1" s="20" t="s">
        <v>19</v>
      </c>
      <c r="F1" s="20" t="s">
        <v>4</v>
      </c>
      <c r="G1" s="20" t="s">
        <v>5</v>
      </c>
      <c r="H1" s="20" t="s">
        <v>6</v>
      </c>
    </row>
    <row r="2" spans="1:10" ht="18" x14ac:dyDescent="0.45">
      <c r="A2" s="26" t="s">
        <v>45</v>
      </c>
      <c r="B2" s="27" t="s">
        <v>46</v>
      </c>
      <c r="C2" s="65">
        <v>898420868.95000005</v>
      </c>
      <c r="D2" s="65">
        <v>356392222.04999995</v>
      </c>
      <c r="E2" s="65">
        <v>166100917.37</v>
      </c>
      <c r="F2" s="65">
        <v>324133382.35000002</v>
      </c>
      <c r="G2" s="65">
        <v>342711150.13989085</v>
      </c>
      <c r="H2" s="65">
        <v>202040645.59</v>
      </c>
      <c r="I2" s="35"/>
      <c r="J2" s="35"/>
    </row>
    <row r="3" spans="1:10" ht="18" x14ac:dyDescent="0.45">
      <c r="A3" s="26" t="s">
        <v>45</v>
      </c>
      <c r="B3" s="27" t="s">
        <v>47</v>
      </c>
      <c r="C3" s="65">
        <v>179597194.45000002</v>
      </c>
      <c r="D3" s="65">
        <v>179078194.45000002</v>
      </c>
      <c r="E3" s="65">
        <v>0</v>
      </c>
      <c r="F3" s="65">
        <v>786592.58</v>
      </c>
      <c r="G3" s="65">
        <v>23519477.400000002</v>
      </c>
      <c r="H3" s="65">
        <v>3464816.4699999997</v>
      </c>
    </row>
    <row r="4" spans="1:10" ht="18" x14ac:dyDescent="0.45">
      <c r="A4" s="26" t="s">
        <v>45</v>
      </c>
      <c r="B4" s="27" t="s">
        <v>48</v>
      </c>
      <c r="C4" s="65">
        <v>99960251.719999999</v>
      </c>
      <c r="D4" s="65">
        <v>99960251.719999999</v>
      </c>
      <c r="E4" s="65">
        <v>0</v>
      </c>
      <c r="F4" s="65">
        <v>24202457</v>
      </c>
      <c r="G4" s="65">
        <v>60502457</v>
      </c>
      <c r="H4" s="65">
        <v>66992320.719999999</v>
      </c>
    </row>
    <row r="5" spans="1:10" ht="18" x14ac:dyDescent="0.45">
      <c r="A5" s="26" t="s">
        <v>49</v>
      </c>
      <c r="B5" s="27" t="s">
        <v>50</v>
      </c>
      <c r="C5" s="65">
        <v>75499119.099999994</v>
      </c>
      <c r="D5" s="65">
        <v>56783612.962352924</v>
      </c>
      <c r="E5" s="65">
        <v>2414671.2600000012</v>
      </c>
      <c r="F5" s="65">
        <v>69420364.849999994</v>
      </c>
      <c r="G5" s="65">
        <v>73471717.887353301</v>
      </c>
      <c r="H5" s="67">
        <v>60700667.418235302</v>
      </c>
      <c r="I5" s="35"/>
    </row>
    <row r="6" spans="1:10" ht="18" x14ac:dyDescent="0.45">
      <c r="A6" s="26" t="s">
        <v>49</v>
      </c>
      <c r="B6" s="27" t="s">
        <v>51</v>
      </c>
      <c r="C6" s="65">
        <v>13716283.91</v>
      </c>
      <c r="D6" s="65">
        <v>13851265.494117647</v>
      </c>
      <c r="E6" s="65">
        <v>563914.50999999989</v>
      </c>
      <c r="F6" s="65">
        <v>14614517.18</v>
      </c>
      <c r="G6" s="65">
        <v>15428499.01382355</v>
      </c>
      <c r="H6" s="65">
        <v>14065248.176470589</v>
      </c>
    </row>
    <row r="7" spans="1:10" ht="18" x14ac:dyDescent="0.45">
      <c r="A7" s="26" t="s">
        <v>49</v>
      </c>
      <c r="B7" s="27" t="s">
        <v>52</v>
      </c>
      <c r="C7" s="65">
        <v>144834638.09</v>
      </c>
      <c r="D7" s="65">
        <v>138442627.01999998</v>
      </c>
      <c r="E7" s="65">
        <v>6554443.2547058901</v>
      </c>
      <c r="F7" s="65">
        <v>201891737.88000003</v>
      </c>
      <c r="G7" s="65">
        <v>219455439.90024242</v>
      </c>
      <c r="H7" s="65">
        <v>165759886.30647054</v>
      </c>
      <c r="I7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22BB-AC9E-406C-8A13-0BE69A67A307}">
  <dimension ref="A1:H59"/>
  <sheetViews>
    <sheetView zoomScale="85" zoomScaleNormal="85" workbookViewId="0">
      <pane ySplit="1" topLeftCell="A62" activePane="bottomLeft" state="frozen"/>
      <selection pane="bottomLeft" activeCell="D30" sqref="D30:E59"/>
    </sheetView>
  </sheetViews>
  <sheetFormatPr defaultRowHeight="14.25" x14ac:dyDescent="0.2"/>
  <cols>
    <col min="1" max="1" width="12.125" bestFit="1" customWidth="1"/>
    <col min="2" max="2" width="14.5" bestFit="1" customWidth="1"/>
    <col min="3" max="3" width="56.125" bestFit="1" customWidth="1"/>
    <col min="4" max="4" width="14.875" bestFit="1" customWidth="1"/>
    <col min="5" max="5" width="15.125" bestFit="1" customWidth="1"/>
    <col min="6" max="6" width="13" bestFit="1" customWidth="1"/>
    <col min="7" max="7" width="10.375" bestFit="1" customWidth="1"/>
    <col min="8" max="8" width="15.5" bestFit="1" customWidth="1"/>
  </cols>
  <sheetData>
    <row r="1" spans="1:7" ht="18" x14ac:dyDescent="0.45">
      <c r="A1" s="20" t="s">
        <v>1</v>
      </c>
      <c r="B1" s="20" t="s">
        <v>2</v>
      </c>
      <c r="C1" s="2" t="s">
        <v>36</v>
      </c>
      <c r="D1" s="3" t="s">
        <v>53</v>
      </c>
      <c r="E1" s="3" t="s">
        <v>54</v>
      </c>
      <c r="F1" s="3" t="s">
        <v>55</v>
      </c>
      <c r="G1" s="3" t="s">
        <v>0</v>
      </c>
    </row>
    <row r="2" spans="1:7" ht="21" x14ac:dyDescent="0.55000000000000004">
      <c r="A2" s="1" t="s">
        <v>16</v>
      </c>
      <c r="B2" s="1" t="s">
        <v>14</v>
      </c>
      <c r="C2" s="1" t="s">
        <v>56</v>
      </c>
      <c r="D2" s="4">
        <v>226195295.59</v>
      </c>
      <c r="E2" s="4">
        <v>33929294.43</v>
      </c>
      <c r="F2" s="37">
        <v>11442</v>
      </c>
      <c r="G2" s="37">
        <v>2025</v>
      </c>
    </row>
    <row r="3" spans="1:7" ht="21" x14ac:dyDescent="0.55000000000000004">
      <c r="A3" s="1" t="s">
        <v>16</v>
      </c>
      <c r="B3" s="1" t="s">
        <v>14</v>
      </c>
      <c r="C3" s="1" t="s">
        <v>57</v>
      </c>
      <c r="D3" s="4">
        <v>75234434.930000007</v>
      </c>
      <c r="E3" s="4">
        <v>11285164.92</v>
      </c>
      <c r="F3" s="37">
        <v>1421911</v>
      </c>
      <c r="G3" s="37">
        <v>2025</v>
      </c>
    </row>
    <row r="4" spans="1:7" ht="21" x14ac:dyDescent="0.55000000000000004">
      <c r="A4" s="1" t="s">
        <v>16</v>
      </c>
      <c r="B4" s="1" t="s">
        <v>14</v>
      </c>
      <c r="C4" s="1" t="s">
        <v>58</v>
      </c>
      <c r="D4" s="4">
        <v>17445291.440000001</v>
      </c>
      <c r="E4" s="4">
        <v>2616793.7200000002</v>
      </c>
      <c r="F4" s="37">
        <v>1422121</v>
      </c>
      <c r="G4" s="37">
        <v>2025</v>
      </c>
    </row>
    <row r="5" spans="1:7" ht="21" x14ac:dyDescent="0.55000000000000004">
      <c r="A5" s="1" t="s">
        <v>16</v>
      </c>
      <c r="B5" s="1" t="s">
        <v>12</v>
      </c>
      <c r="C5" s="1" t="s">
        <v>59</v>
      </c>
      <c r="D5" s="4">
        <v>748672.59</v>
      </c>
      <c r="E5" s="4">
        <v>112300.89</v>
      </c>
      <c r="F5" s="37">
        <v>11452103</v>
      </c>
      <c r="G5" s="37">
        <v>2025</v>
      </c>
    </row>
    <row r="6" spans="1:7" ht="21" x14ac:dyDescent="0.55000000000000004">
      <c r="A6" s="1" t="s">
        <v>16</v>
      </c>
      <c r="B6" s="1" t="s">
        <v>12</v>
      </c>
      <c r="C6" s="1" t="s">
        <v>60</v>
      </c>
      <c r="D6" s="4">
        <v>264516140.24000001</v>
      </c>
      <c r="E6" s="4">
        <v>39677420.280000001</v>
      </c>
      <c r="F6" s="37">
        <v>11452104</v>
      </c>
      <c r="G6" s="37">
        <v>2025</v>
      </c>
    </row>
    <row r="7" spans="1:7" ht="21" x14ac:dyDescent="0.55000000000000004">
      <c r="A7" s="1" t="s">
        <v>16</v>
      </c>
      <c r="B7" s="1" t="s">
        <v>12</v>
      </c>
      <c r="C7" s="1" t="s">
        <v>61</v>
      </c>
      <c r="D7" s="4">
        <v>16593360.189999999</v>
      </c>
      <c r="E7" s="4">
        <v>2488966.15</v>
      </c>
      <c r="F7" s="37">
        <v>11452108</v>
      </c>
      <c r="G7" s="37">
        <v>2025</v>
      </c>
    </row>
    <row r="8" spans="1:7" ht="21" x14ac:dyDescent="0.55000000000000004">
      <c r="A8" s="1" t="s">
        <v>16</v>
      </c>
      <c r="B8" s="1" t="s">
        <v>12</v>
      </c>
      <c r="C8" s="1" t="s">
        <v>62</v>
      </c>
      <c r="D8" s="4">
        <v>389906.96</v>
      </c>
      <c r="E8" s="4">
        <v>58486.01</v>
      </c>
      <c r="F8" s="37">
        <v>11452110</v>
      </c>
      <c r="G8" s="37">
        <v>2025</v>
      </c>
    </row>
    <row r="9" spans="1:7" ht="21" x14ac:dyDescent="0.55000000000000004">
      <c r="A9" s="1" t="s">
        <v>16</v>
      </c>
      <c r="B9" s="1" t="s">
        <v>12</v>
      </c>
      <c r="C9" s="1" t="s">
        <v>63</v>
      </c>
      <c r="D9" s="4">
        <v>6304824.0300000003</v>
      </c>
      <c r="E9" s="4">
        <v>945723.38</v>
      </c>
      <c r="F9" s="37">
        <v>11452111</v>
      </c>
      <c r="G9" s="37">
        <v>2025</v>
      </c>
    </row>
    <row r="10" spans="1:7" ht="21" x14ac:dyDescent="0.55000000000000004">
      <c r="A10" s="1" t="s">
        <v>16</v>
      </c>
      <c r="B10" s="1" t="s">
        <v>12</v>
      </c>
      <c r="C10" s="1" t="s">
        <v>64</v>
      </c>
      <c r="D10" s="4">
        <v>196337476.44</v>
      </c>
      <c r="E10" s="4">
        <v>29450621.649999999</v>
      </c>
      <c r="F10" s="37">
        <v>11452512</v>
      </c>
      <c r="G10" s="37">
        <v>2025</v>
      </c>
    </row>
    <row r="11" spans="1:7" ht="21" x14ac:dyDescent="0.55000000000000004">
      <c r="A11" s="1" t="s">
        <v>16</v>
      </c>
      <c r="B11" s="1" t="s">
        <v>12</v>
      </c>
      <c r="C11" s="1" t="s">
        <v>65</v>
      </c>
      <c r="D11" s="4">
        <v>46969423.869999997</v>
      </c>
      <c r="E11" s="4">
        <v>7045417.4100000001</v>
      </c>
      <c r="F11" s="37">
        <v>142113</v>
      </c>
      <c r="G11" s="37">
        <v>2025</v>
      </c>
    </row>
    <row r="12" spans="1:7" ht="21" x14ac:dyDescent="0.55000000000000004">
      <c r="A12" s="1" t="s">
        <v>16</v>
      </c>
      <c r="B12" s="1" t="s">
        <v>12</v>
      </c>
      <c r="C12" s="1" t="s">
        <v>66</v>
      </c>
      <c r="D12" s="4">
        <v>67704583.280000001</v>
      </c>
      <c r="E12" s="4">
        <v>10155624.109999999</v>
      </c>
      <c r="F12" s="37">
        <v>1421909</v>
      </c>
      <c r="G12" s="37">
        <v>2025</v>
      </c>
    </row>
    <row r="13" spans="1:7" ht="21" x14ac:dyDescent="0.55000000000000004">
      <c r="A13" s="1" t="s">
        <v>16</v>
      </c>
      <c r="B13" s="1" t="s">
        <v>12</v>
      </c>
      <c r="C13" s="1" t="s">
        <v>67</v>
      </c>
      <c r="D13" s="4">
        <v>4030082.86</v>
      </c>
      <c r="E13" s="4">
        <v>604511.81999999995</v>
      </c>
      <c r="F13" s="37">
        <v>1421910</v>
      </c>
      <c r="G13" s="37">
        <v>2025</v>
      </c>
    </row>
    <row r="14" spans="1:7" ht="21" x14ac:dyDescent="0.55000000000000004">
      <c r="A14" s="1" t="s">
        <v>16</v>
      </c>
      <c r="B14" s="1" t="s">
        <v>12</v>
      </c>
      <c r="C14" s="1" t="s">
        <v>68</v>
      </c>
      <c r="D14" s="4">
        <v>1894.91</v>
      </c>
      <c r="E14" s="4">
        <v>284.24</v>
      </c>
      <c r="F14" s="37">
        <v>1422108</v>
      </c>
      <c r="G14" s="37">
        <v>2025</v>
      </c>
    </row>
    <row r="15" spans="1:7" ht="21" x14ac:dyDescent="0.55000000000000004">
      <c r="A15" s="1" t="s">
        <v>16</v>
      </c>
      <c r="B15" s="1" t="s">
        <v>12</v>
      </c>
      <c r="C15" s="1" t="s">
        <v>69</v>
      </c>
      <c r="D15" s="4">
        <v>4375989.22</v>
      </c>
      <c r="E15" s="4">
        <v>656398.38</v>
      </c>
      <c r="F15" s="37">
        <v>1422109</v>
      </c>
      <c r="G15" s="37">
        <v>2025</v>
      </c>
    </row>
    <row r="16" spans="1:7" ht="21" x14ac:dyDescent="0.55000000000000004">
      <c r="A16" s="1" t="s">
        <v>17</v>
      </c>
      <c r="B16" s="1" t="s">
        <v>14</v>
      </c>
      <c r="C16" s="1" t="s">
        <v>56</v>
      </c>
      <c r="D16" s="4">
        <v>4273966.01</v>
      </c>
      <c r="E16" s="4">
        <v>641094.67000000004</v>
      </c>
      <c r="F16" s="37">
        <v>11442</v>
      </c>
      <c r="G16" s="37">
        <v>2025</v>
      </c>
    </row>
    <row r="17" spans="1:8" ht="21" x14ac:dyDescent="0.55000000000000004">
      <c r="A17" s="1" t="s">
        <v>17</v>
      </c>
      <c r="B17" s="1" t="s">
        <v>14</v>
      </c>
      <c r="C17" s="1" t="s">
        <v>57</v>
      </c>
      <c r="D17" s="4">
        <v>694740.33</v>
      </c>
      <c r="E17" s="4">
        <v>104210.99</v>
      </c>
      <c r="F17" s="37">
        <v>1421911</v>
      </c>
      <c r="G17" s="37">
        <v>2025</v>
      </c>
    </row>
    <row r="18" spans="1:8" ht="21" x14ac:dyDescent="0.55000000000000004">
      <c r="A18" s="1" t="s">
        <v>17</v>
      </c>
      <c r="B18" s="1" t="s">
        <v>14</v>
      </c>
      <c r="C18" s="1" t="s">
        <v>58</v>
      </c>
      <c r="D18" s="4">
        <v>766915</v>
      </c>
      <c r="E18" s="4">
        <v>115037.26</v>
      </c>
      <c r="F18" s="37">
        <v>1422121</v>
      </c>
      <c r="G18" s="37">
        <v>2025</v>
      </c>
    </row>
    <row r="19" spans="1:8" ht="21" x14ac:dyDescent="0.55000000000000004">
      <c r="A19" s="1" t="s">
        <v>17</v>
      </c>
      <c r="B19" s="1" t="s">
        <v>12</v>
      </c>
      <c r="C19" s="1" t="s">
        <v>59</v>
      </c>
      <c r="D19" s="4">
        <v>33190.29</v>
      </c>
      <c r="E19" s="4">
        <v>4978.54</v>
      </c>
      <c r="F19" s="37">
        <v>11452103</v>
      </c>
      <c r="G19" s="37">
        <v>2025</v>
      </c>
    </row>
    <row r="20" spans="1:8" ht="21" x14ac:dyDescent="0.55000000000000004">
      <c r="A20" s="1" t="s">
        <v>17</v>
      </c>
      <c r="B20" s="1" t="s">
        <v>12</v>
      </c>
      <c r="C20" s="1" t="s">
        <v>60</v>
      </c>
      <c r="D20" s="4">
        <v>30518949.609999999</v>
      </c>
      <c r="E20" s="4">
        <v>4577842.4800000004</v>
      </c>
      <c r="F20" s="37">
        <v>11452104</v>
      </c>
      <c r="G20" s="37">
        <v>2025</v>
      </c>
    </row>
    <row r="21" spans="1:8" ht="21" x14ac:dyDescent="0.55000000000000004">
      <c r="A21" s="1" t="s">
        <v>17</v>
      </c>
      <c r="B21" s="1" t="s">
        <v>12</v>
      </c>
      <c r="C21" s="1" t="s">
        <v>70</v>
      </c>
      <c r="D21" s="4">
        <v>272615.90999999997</v>
      </c>
      <c r="E21" s="4">
        <v>40892.39</v>
      </c>
      <c r="F21" s="37">
        <v>11452107</v>
      </c>
      <c r="G21" s="37">
        <v>2025</v>
      </c>
    </row>
    <row r="22" spans="1:8" ht="21" x14ac:dyDescent="0.55000000000000004">
      <c r="A22" s="1" t="s">
        <v>17</v>
      </c>
      <c r="B22" s="1" t="s">
        <v>12</v>
      </c>
      <c r="C22" s="1" t="s">
        <v>61</v>
      </c>
      <c r="D22" s="4">
        <v>5602642.71</v>
      </c>
      <c r="E22" s="4">
        <v>840396.65</v>
      </c>
      <c r="F22" s="37">
        <v>11452108</v>
      </c>
      <c r="G22" s="37">
        <v>2025</v>
      </c>
    </row>
    <row r="23" spans="1:8" ht="21" x14ac:dyDescent="0.55000000000000004">
      <c r="A23" s="1" t="s">
        <v>17</v>
      </c>
      <c r="B23" s="1" t="s">
        <v>12</v>
      </c>
      <c r="C23" s="1" t="s">
        <v>62</v>
      </c>
      <c r="D23" s="4">
        <v>325062.40999999997</v>
      </c>
      <c r="E23" s="4">
        <v>48759.33</v>
      </c>
      <c r="F23" s="37">
        <v>11452110</v>
      </c>
      <c r="G23" s="37">
        <v>2025</v>
      </c>
    </row>
    <row r="24" spans="1:8" ht="21" x14ac:dyDescent="0.55000000000000004">
      <c r="A24" s="1" t="s">
        <v>17</v>
      </c>
      <c r="B24" s="1" t="s">
        <v>12</v>
      </c>
      <c r="C24" s="1" t="s">
        <v>63</v>
      </c>
      <c r="D24" s="4">
        <v>641183.98</v>
      </c>
      <c r="E24" s="4">
        <v>96177.52</v>
      </c>
      <c r="F24" s="37">
        <v>11452111</v>
      </c>
      <c r="G24" s="37">
        <v>2025</v>
      </c>
    </row>
    <row r="25" spans="1:8" ht="21" x14ac:dyDescent="0.55000000000000004">
      <c r="A25" s="1" t="s">
        <v>17</v>
      </c>
      <c r="B25" s="1" t="s">
        <v>12</v>
      </c>
      <c r="C25" s="1" t="s">
        <v>64</v>
      </c>
      <c r="D25" s="4">
        <v>26476637.75</v>
      </c>
      <c r="E25" s="4">
        <v>3971495.7</v>
      </c>
      <c r="F25" s="37">
        <v>11452512</v>
      </c>
      <c r="G25" s="37">
        <v>2025</v>
      </c>
    </row>
    <row r="26" spans="1:8" ht="21" x14ac:dyDescent="0.55000000000000004">
      <c r="A26" s="1" t="s">
        <v>17</v>
      </c>
      <c r="B26" s="1" t="s">
        <v>12</v>
      </c>
      <c r="C26" s="1" t="s">
        <v>65</v>
      </c>
      <c r="D26" s="4">
        <v>4730708.53</v>
      </c>
      <c r="E26" s="4">
        <v>709605.93</v>
      </c>
      <c r="F26" s="37">
        <v>142113</v>
      </c>
      <c r="G26" s="37">
        <v>2025</v>
      </c>
    </row>
    <row r="27" spans="1:8" ht="21" x14ac:dyDescent="0.55000000000000004">
      <c r="A27" s="1" t="s">
        <v>17</v>
      </c>
      <c r="B27" s="1" t="s">
        <v>12</v>
      </c>
      <c r="C27" s="1" t="s">
        <v>66</v>
      </c>
      <c r="D27" s="4">
        <v>14428674.390000001</v>
      </c>
      <c r="E27" s="4">
        <v>2164292.86</v>
      </c>
      <c r="F27" s="37">
        <v>1421909</v>
      </c>
      <c r="G27" s="37">
        <v>2025</v>
      </c>
    </row>
    <row r="28" spans="1:8" ht="21" x14ac:dyDescent="0.55000000000000004">
      <c r="A28" s="1" t="s">
        <v>17</v>
      </c>
      <c r="B28" s="1" t="s">
        <v>12</v>
      </c>
      <c r="C28" s="1" t="s">
        <v>67</v>
      </c>
      <c r="D28" s="4">
        <v>100779.15</v>
      </c>
      <c r="E28" s="4">
        <v>15116.83</v>
      </c>
      <c r="F28" s="37">
        <v>1421910</v>
      </c>
      <c r="G28" s="37">
        <v>2025</v>
      </c>
    </row>
    <row r="29" spans="1:8" ht="21" x14ac:dyDescent="0.55000000000000004">
      <c r="A29" s="1" t="s">
        <v>17</v>
      </c>
      <c r="B29" s="1" t="s">
        <v>12</v>
      </c>
      <c r="C29" s="1" t="s">
        <v>69</v>
      </c>
      <c r="D29" s="4">
        <v>1128424.74</v>
      </c>
      <c r="E29" s="4">
        <v>169263.7</v>
      </c>
      <c r="F29" s="37">
        <v>1422109</v>
      </c>
      <c r="G29" s="37">
        <v>2025</v>
      </c>
    </row>
    <row r="30" spans="1:8" ht="21" x14ac:dyDescent="0.55000000000000004">
      <c r="A30" s="1" t="s">
        <v>16</v>
      </c>
      <c r="B30" s="1" t="s">
        <v>14</v>
      </c>
      <c r="C30" s="1" t="s">
        <v>56</v>
      </c>
      <c r="D30" s="4">
        <v>115898287.07000001</v>
      </c>
      <c r="E30" s="4">
        <v>19210168.27</v>
      </c>
      <c r="F30" s="37">
        <v>11442</v>
      </c>
      <c r="G30" s="37">
        <v>2026</v>
      </c>
    </row>
    <row r="31" spans="1:8" ht="21" x14ac:dyDescent="0.55000000000000004">
      <c r="A31" s="1" t="s">
        <v>16</v>
      </c>
      <c r="B31" s="1" t="s">
        <v>12</v>
      </c>
      <c r="C31" s="1" t="s">
        <v>65</v>
      </c>
      <c r="D31" s="4">
        <v>31821214.8999984</v>
      </c>
      <c r="E31" s="4">
        <v>5394862.2199999997</v>
      </c>
      <c r="F31" s="37">
        <v>142113</v>
      </c>
      <c r="G31" s="37">
        <v>2026</v>
      </c>
      <c r="H31" s="39"/>
    </row>
    <row r="32" spans="1:8" ht="21" x14ac:dyDescent="0.55000000000000004">
      <c r="A32" s="1" t="s">
        <v>16</v>
      </c>
      <c r="B32" s="1" t="s">
        <v>12</v>
      </c>
      <c r="C32" s="1" t="s">
        <v>66</v>
      </c>
      <c r="D32" s="4">
        <v>50238465.219997212</v>
      </c>
      <c r="E32" s="4">
        <v>8528583.1300000306</v>
      </c>
      <c r="F32" s="37">
        <v>1421909</v>
      </c>
      <c r="G32" s="37">
        <v>2026</v>
      </c>
      <c r="H32" s="39"/>
    </row>
    <row r="33" spans="1:8" ht="21" x14ac:dyDescent="0.55000000000000004">
      <c r="A33" s="1" t="s">
        <v>16</v>
      </c>
      <c r="B33" s="1" t="s">
        <v>12</v>
      </c>
      <c r="C33" s="1" t="s">
        <v>67</v>
      </c>
      <c r="D33" s="4">
        <v>3031290.6300000204</v>
      </c>
      <c r="E33" s="4">
        <v>518740.50999999896</v>
      </c>
      <c r="F33" s="37">
        <v>1421910</v>
      </c>
      <c r="G33" s="37">
        <v>2026</v>
      </c>
      <c r="H33" s="39"/>
    </row>
    <row r="34" spans="1:8" ht="21" x14ac:dyDescent="0.55000000000000004">
      <c r="A34" s="1" t="s">
        <v>16</v>
      </c>
      <c r="B34" s="1" t="s">
        <v>14</v>
      </c>
      <c r="C34" s="1" t="s">
        <v>57</v>
      </c>
      <c r="D34" s="4">
        <v>48336884.289999999</v>
      </c>
      <c r="E34" s="4">
        <v>8109691.8200000199</v>
      </c>
      <c r="F34" s="37">
        <v>1421911</v>
      </c>
      <c r="G34" s="37">
        <v>2026</v>
      </c>
    </row>
    <row r="35" spans="1:8" ht="21" x14ac:dyDescent="0.55000000000000004">
      <c r="A35" s="1" t="s">
        <v>16</v>
      </c>
      <c r="B35" s="1" t="s">
        <v>12</v>
      </c>
      <c r="C35" s="1" t="s">
        <v>68</v>
      </c>
      <c r="D35" s="4">
        <v>47.790000000000006</v>
      </c>
      <c r="E35" s="4">
        <v>0</v>
      </c>
      <c r="F35" s="37">
        <v>1422108</v>
      </c>
      <c r="G35" s="37">
        <v>2026</v>
      </c>
    </row>
    <row r="36" spans="1:8" ht="21" x14ac:dyDescent="0.55000000000000004">
      <c r="A36" s="1" t="s">
        <v>16</v>
      </c>
      <c r="B36" s="1" t="s">
        <v>12</v>
      </c>
      <c r="C36" s="1" t="s">
        <v>69</v>
      </c>
      <c r="D36" s="4">
        <v>3017312.61</v>
      </c>
      <c r="E36" s="4">
        <v>513756</v>
      </c>
      <c r="F36" s="37">
        <v>1422109</v>
      </c>
      <c r="G36" s="37">
        <v>2026</v>
      </c>
      <c r="H36" s="39"/>
    </row>
    <row r="37" spans="1:8" ht="21" x14ac:dyDescent="0.55000000000000004">
      <c r="A37" s="1" t="s">
        <v>16</v>
      </c>
      <c r="B37" s="1" t="s">
        <v>14</v>
      </c>
      <c r="C37" s="1" t="s">
        <v>58</v>
      </c>
      <c r="D37" s="4">
        <v>11744717.09</v>
      </c>
      <c r="E37" s="4">
        <v>1981450</v>
      </c>
      <c r="F37" s="37">
        <v>1422121</v>
      </c>
      <c r="G37" s="37">
        <v>2026</v>
      </c>
    </row>
    <row r="38" spans="1:8" ht="21" x14ac:dyDescent="0.55000000000000004">
      <c r="A38" s="1" t="s">
        <v>16</v>
      </c>
      <c r="B38" s="1" t="s">
        <v>12</v>
      </c>
      <c r="C38" s="1" t="s">
        <v>59</v>
      </c>
      <c r="D38" s="4">
        <v>168922.33000000002</v>
      </c>
      <c r="E38" s="4">
        <v>26880</v>
      </c>
      <c r="F38" s="37">
        <v>11452103</v>
      </c>
      <c r="G38" s="37">
        <v>2026</v>
      </c>
      <c r="H38" s="39"/>
    </row>
    <row r="39" spans="1:8" ht="21" x14ac:dyDescent="0.55000000000000004">
      <c r="A39" s="1" t="s">
        <v>16</v>
      </c>
      <c r="B39" s="1" t="s">
        <v>12</v>
      </c>
      <c r="C39" s="1" t="s">
        <v>60</v>
      </c>
      <c r="D39" s="4">
        <v>182754842.18000603</v>
      </c>
      <c r="E39" s="4">
        <v>31105498.490000702</v>
      </c>
      <c r="F39" s="37">
        <v>11452104</v>
      </c>
      <c r="G39" s="37">
        <v>2026</v>
      </c>
      <c r="H39" s="39"/>
    </row>
    <row r="40" spans="1:8" ht="21" x14ac:dyDescent="0.55000000000000004">
      <c r="A40" s="1" t="s">
        <v>16</v>
      </c>
      <c r="B40" s="1" t="s">
        <v>12</v>
      </c>
      <c r="C40" s="1" t="s">
        <v>70</v>
      </c>
      <c r="D40" s="4">
        <v>0</v>
      </c>
      <c r="E40" s="4">
        <v>0</v>
      </c>
      <c r="F40" s="37">
        <v>11452107</v>
      </c>
      <c r="G40" s="37">
        <v>2026</v>
      </c>
    </row>
    <row r="41" spans="1:8" ht="21" x14ac:dyDescent="0.55000000000000004">
      <c r="A41" s="1" t="s">
        <v>16</v>
      </c>
      <c r="B41" s="1" t="s">
        <v>12</v>
      </c>
      <c r="C41" s="1" t="s">
        <v>61</v>
      </c>
      <c r="D41" s="4">
        <v>8933385.3199999798</v>
      </c>
      <c r="E41" s="4">
        <v>1508791.3200000699</v>
      </c>
      <c r="F41" s="37">
        <v>11452108</v>
      </c>
      <c r="G41" s="37">
        <v>2026</v>
      </c>
      <c r="H41" s="39"/>
    </row>
    <row r="42" spans="1:8" ht="21" x14ac:dyDescent="0.55000000000000004">
      <c r="A42" s="1" t="s">
        <v>16</v>
      </c>
      <c r="B42" s="1" t="s">
        <v>12</v>
      </c>
      <c r="C42" s="1" t="s">
        <v>62</v>
      </c>
      <c r="D42" s="4">
        <v>145898.51999999999</v>
      </c>
      <c r="E42" s="4">
        <v>24112.899999999998</v>
      </c>
      <c r="F42" s="37">
        <v>11452110</v>
      </c>
      <c r="G42" s="37">
        <v>2026</v>
      </c>
      <c r="H42" s="69"/>
    </row>
    <row r="43" spans="1:8" ht="21" x14ac:dyDescent="0.55000000000000004">
      <c r="A43" s="1" t="s">
        <v>16</v>
      </c>
      <c r="B43" s="1" t="s">
        <v>12</v>
      </c>
      <c r="C43" s="1" t="s">
        <v>63</v>
      </c>
      <c r="D43" s="4">
        <v>9420883.7500000112</v>
      </c>
      <c r="E43" s="4">
        <v>1638227.67</v>
      </c>
      <c r="F43" s="37">
        <v>11452111</v>
      </c>
      <c r="G43" s="37">
        <v>2026</v>
      </c>
      <c r="H43" s="39"/>
    </row>
    <row r="44" spans="1:8" ht="21" x14ac:dyDescent="0.55000000000000004">
      <c r="A44" s="1" t="s">
        <v>16</v>
      </c>
      <c r="B44" s="1" t="s">
        <v>12</v>
      </c>
      <c r="C44" s="1" t="s">
        <v>64</v>
      </c>
      <c r="D44" s="4">
        <v>130616510.49999899</v>
      </c>
      <c r="E44" s="4">
        <v>22169477.810000099</v>
      </c>
      <c r="F44" s="37">
        <v>11452512</v>
      </c>
      <c r="G44" s="37">
        <v>2026</v>
      </c>
      <c r="H44" s="39"/>
    </row>
    <row r="45" spans="1:8" ht="21" x14ac:dyDescent="0.55000000000000004">
      <c r="A45" s="1" t="s">
        <v>17</v>
      </c>
      <c r="B45" s="1" t="s">
        <v>14</v>
      </c>
      <c r="C45" s="1" t="s">
        <v>56</v>
      </c>
      <c r="D45" s="4">
        <v>3289147.9900000393</v>
      </c>
      <c r="E45" s="4">
        <v>516002.76</v>
      </c>
      <c r="F45" s="37">
        <v>11442</v>
      </c>
      <c r="G45" s="37">
        <v>2026</v>
      </c>
    </row>
    <row r="46" spans="1:8" ht="21" x14ac:dyDescent="0.55000000000000004">
      <c r="A46" s="1" t="s">
        <v>17</v>
      </c>
      <c r="B46" s="1" t="s">
        <v>12</v>
      </c>
      <c r="C46" s="1" t="s">
        <v>65</v>
      </c>
      <c r="D46" s="4">
        <v>3090874.1000000481</v>
      </c>
      <c r="E46" s="4">
        <v>521575.49</v>
      </c>
      <c r="F46" s="37">
        <v>142113</v>
      </c>
      <c r="G46" s="37">
        <v>2026</v>
      </c>
      <c r="H46" s="39"/>
    </row>
    <row r="47" spans="1:8" ht="21" x14ac:dyDescent="0.55000000000000004">
      <c r="A47" s="1" t="s">
        <v>17</v>
      </c>
      <c r="B47" s="1" t="s">
        <v>12</v>
      </c>
      <c r="C47" s="1" t="s">
        <v>66</v>
      </c>
      <c r="D47" s="4">
        <v>10102586.449999992</v>
      </c>
      <c r="E47" s="4">
        <v>1703218.8000000701</v>
      </c>
      <c r="F47" s="37">
        <v>1421909</v>
      </c>
      <c r="G47" s="37">
        <v>2026</v>
      </c>
      <c r="H47" s="39"/>
    </row>
    <row r="48" spans="1:8" ht="21" x14ac:dyDescent="0.55000000000000004">
      <c r="A48" s="1" t="s">
        <v>17</v>
      </c>
      <c r="B48" s="1" t="s">
        <v>12</v>
      </c>
      <c r="C48" s="1" t="s">
        <v>67</v>
      </c>
      <c r="D48" s="4">
        <v>63064.630000000478</v>
      </c>
      <c r="E48" s="4">
        <v>10689.88</v>
      </c>
      <c r="F48" s="37">
        <v>1421910</v>
      </c>
      <c r="G48" s="37">
        <v>2026</v>
      </c>
      <c r="H48" s="39"/>
    </row>
    <row r="49" spans="1:8" ht="21" x14ac:dyDescent="0.55000000000000004">
      <c r="A49" s="1" t="s">
        <v>17</v>
      </c>
      <c r="B49" s="1" t="s">
        <v>14</v>
      </c>
      <c r="C49" s="1" t="s">
        <v>57</v>
      </c>
      <c r="D49" s="4">
        <v>435286.61999999883</v>
      </c>
      <c r="E49" s="4">
        <v>71880.240000000005</v>
      </c>
      <c r="F49" s="37">
        <v>1421911</v>
      </c>
      <c r="G49" s="37">
        <v>2026</v>
      </c>
    </row>
    <row r="50" spans="1:8" ht="21" x14ac:dyDescent="0.55000000000000004">
      <c r="A50" s="1" t="s">
        <v>17</v>
      </c>
      <c r="B50" s="1" t="s">
        <v>12</v>
      </c>
      <c r="C50" s="1" t="s">
        <v>68</v>
      </c>
      <c r="D50" s="4">
        <v>68442</v>
      </c>
      <c r="E50" s="4">
        <v>12078</v>
      </c>
      <c r="F50" s="37">
        <v>1422108</v>
      </c>
      <c r="G50" s="37">
        <v>2026</v>
      </c>
    </row>
    <row r="51" spans="1:8" ht="21" x14ac:dyDescent="0.55000000000000004">
      <c r="A51" s="1" t="s">
        <v>17</v>
      </c>
      <c r="B51" s="1" t="s">
        <v>12</v>
      </c>
      <c r="C51" s="1" t="s">
        <v>69</v>
      </c>
      <c r="D51" s="4">
        <v>813202.439999984</v>
      </c>
      <c r="E51" s="4">
        <v>138642</v>
      </c>
      <c r="F51" s="37">
        <v>1422109</v>
      </c>
      <c r="G51" s="37">
        <v>2026</v>
      </c>
      <c r="H51" s="69"/>
    </row>
    <row r="52" spans="1:8" ht="21" x14ac:dyDescent="0.55000000000000004">
      <c r="A52" s="1" t="s">
        <v>17</v>
      </c>
      <c r="B52" s="1" t="s">
        <v>14</v>
      </c>
      <c r="C52" s="1" t="s">
        <v>58</v>
      </c>
      <c r="D52" s="4">
        <v>310733.58000000112</v>
      </c>
      <c r="E52" s="4">
        <v>51750</v>
      </c>
      <c r="F52" s="37">
        <v>1422121</v>
      </c>
      <c r="G52" s="37">
        <v>2026</v>
      </c>
    </row>
    <row r="53" spans="1:8" ht="21" x14ac:dyDescent="0.55000000000000004">
      <c r="A53" s="1" t="s">
        <v>17</v>
      </c>
      <c r="B53" s="1" t="s">
        <v>12</v>
      </c>
      <c r="C53" s="1" t="s">
        <v>59</v>
      </c>
      <c r="D53" s="4">
        <v>416150.03000000102</v>
      </c>
      <c r="E53" s="4">
        <v>73323.3</v>
      </c>
      <c r="F53" s="37">
        <v>11452103</v>
      </c>
      <c r="G53" s="37">
        <v>2026</v>
      </c>
      <c r="H53" s="69"/>
    </row>
    <row r="54" spans="1:8" ht="21" x14ac:dyDescent="0.55000000000000004">
      <c r="A54" s="1" t="s">
        <v>17</v>
      </c>
      <c r="B54" s="1" t="s">
        <v>12</v>
      </c>
      <c r="C54" s="1" t="s">
        <v>60</v>
      </c>
      <c r="D54" s="4">
        <v>20040667.710000981</v>
      </c>
      <c r="E54" s="4">
        <v>3394373.4099999699</v>
      </c>
      <c r="F54" s="37">
        <v>11452104</v>
      </c>
      <c r="G54" s="37">
        <v>2026</v>
      </c>
      <c r="H54" s="39"/>
    </row>
    <row r="55" spans="1:8" ht="21" x14ac:dyDescent="0.55000000000000004">
      <c r="A55" s="1" t="s">
        <v>17</v>
      </c>
      <c r="B55" s="1" t="s">
        <v>12</v>
      </c>
      <c r="C55" s="1" t="s">
        <v>70</v>
      </c>
      <c r="D55" s="4">
        <v>139134.60999999999</v>
      </c>
      <c r="E55" s="4">
        <v>23400</v>
      </c>
      <c r="F55" s="37">
        <v>11452107</v>
      </c>
      <c r="G55" s="37">
        <v>2026</v>
      </c>
      <c r="H55" s="69"/>
    </row>
    <row r="56" spans="1:8" ht="21" x14ac:dyDescent="0.55000000000000004">
      <c r="A56" s="1" t="s">
        <v>17</v>
      </c>
      <c r="B56" s="1" t="s">
        <v>12</v>
      </c>
      <c r="C56" s="1" t="s">
        <v>61</v>
      </c>
      <c r="D56" s="4">
        <v>4044055.5600000042</v>
      </c>
      <c r="E56" s="4">
        <v>690819.3299999981</v>
      </c>
      <c r="F56" s="37">
        <v>11452108</v>
      </c>
      <c r="G56" s="37">
        <v>2026</v>
      </c>
      <c r="H56" s="39"/>
    </row>
    <row r="57" spans="1:8" ht="21" x14ac:dyDescent="0.55000000000000004">
      <c r="A57" s="1" t="s">
        <v>17</v>
      </c>
      <c r="B57" s="1" t="s">
        <v>12</v>
      </c>
      <c r="C57" s="1" t="s">
        <v>62</v>
      </c>
      <c r="D57" s="4">
        <v>366063.3100000011</v>
      </c>
      <c r="E57" s="4">
        <v>63209.97</v>
      </c>
      <c r="F57">
        <v>11452110</v>
      </c>
      <c r="G57" s="37">
        <v>2026</v>
      </c>
      <c r="H57" s="39"/>
    </row>
    <row r="58" spans="1:8" ht="21" x14ac:dyDescent="0.55000000000000004">
      <c r="A58" s="1" t="s">
        <v>17</v>
      </c>
      <c r="B58" s="1" t="s">
        <v>12</v>
      </c>
      <c r="C58" s="1" t="s">
        <v>63</v>
      </c>
      <c r="D58" s="4">
        <v>473851.2</v>
      </c>
      <c r="E58" s="4">
        <v>81450.25</v>
      </c>
      <c r="F58">
        <v>11452111</v>
      </c>
      <c r="G58" s="37">
        <v>2026</v>
      </c>
      <c r="H58" s="39"/>
    </row>
    <row r="59" spans="1:8" ht="21" x14ac:dyDescent="0.55000000000000004">
      <c r="A59" s="1" t="s">
        <v>17</v>
      </c>
      <c r="B59" s="1" t="s">
        <v>12</v>
      </c>
      <c r="C59" s="1" t="s">
        <v>64</v>
      </c>
      <c r="D59" s="4">
        <v>17361724.13000036</v>
      </c>
      <c r="E59" s="4">
        <v>2935014.0900000003</v>
      </c>
      <c r="F59">
        <v>11452512</v>
      </c>
      <c r="G59" s="37">
        <v>2026</v>
      </c>
      <c r="H59" s="39"/>
    </row>
  </sheetData>
  <autoFilter ref="A1:G59" xr:uid="{DC1222BB-AC9E-406C-8A13-0BE69A67A30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8BC0-D128-4592-BAAE-BD0DD06D4E67}">
  <dimension ref="A1:E3"/>
  <sheetViews>
    <sheetView zoomScale="90" zoomScaleNormal="90" workbookViewId="0">
      <pane ySplit="1" topLeftCell="A2" activePane="bottomLeft" state="frozen"/>
      <selection pane="bottomLeft" activeCell="D4" sqref="D4"/>
    </sheetView>
  </sheetViews>
  <sheetFormatPr defaultRowHeight="14.25" x14ac:dyDescent="0.2"/>
  <cols>
    <col min="1" max="1" width="5.5" bestFit="1" customWidth="1"/>
    <col min="2" max="2" width="26.125" bestFit="1" customWidth="1"/>
    <col min="3" max="3" width="38.5" customWidth="1"/>
    <col min="4" max="4" width="22.5" customWidth="1"/>
    <col min="5" max="5" width="19.5" customWidth="1"/>
  </cols>
  <sheetData>
    <row r="1" spans="1:5" ht="18" x14ac:dyDescent="0.45">
      <c r="A1" s="2" t="s">
        <v>0</v>
      </c>
      <c r="B1" s="2" t="s">
        <v>71</v>
      </c>
      <c r="C1" s="2" t="s">
        <v>72</v>
      </c>
      <c r="D1" s="2" t="s">
        <v>73</v>
      </c>
      <c r="E1" s="2" t="s">
        <v>74</v>
      </c>
    </row>
    <row r="2" spans="1:5" s="6" customFormat="1" ht="21" x14ac:dyDescent="0.55000000000000004">
      <c r="A2" s="36">
        <v>2025</v>
      </c>
      <c r="B2" s="5">
        <v>3966498663.6799998</v>
      </c>
      <c r="C2" s="5">
        <f>SUMIF(استقطاع!G:G,A2,استقطاع!D:D)</f>
        <v>1016841867.36</v>
      </c>
      <c r="D2" s="5">
        <v>594977931.74000001</v>
      </c>
      <c r="E2" s="5">
        <f>SUMIF(استقطاع!G:G,A2,استقطاع!E:E)</f>
        <v>152526172.23999998</v>
      </c>
    </row>
    <row r="3" spans="1:5" ht="21" x14ac:dyDescent="0.55000000000000004">
      <c r="A3" s="36">
        <v>2026</v>
      </c>
      <c r="B3" s="5">
        <v>2972413900</v>
      </c>
      <c r="C3" s="5">
        <f>SUMIF(استقطاع!G:G,A3,استقطاع!D:D)</f>
        <v>657143646.56000209</v>
      </c>
      <c r="D3" s="5">
        <v>468178555</v>
      </c>
      <c r="E3" s="5">
        <f>SUMIF(استقطاع!G:G,A3,استقطاع!E:E)</f>
        <v>111017667.66000094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2CC9-8B36-4FDB-ADDF-F2BF6F56747A}">
  <dimension ref="A1:E25"/>
  <sheetViews>
    <sheetView workbookViewId="0">
      <pane ySplit="1" topLeftCell="A2" activePane="bottomLeft" state="frozen"/>
      <selection pane="bottomLeft" activeCell="E25" sqref="E2:E25"/>
    </sheetView>
  </sheetViews>
  <sheetFormatPr defaultRowHeight="14.25" x14ac:dyDescent="0.2"/>
  <cols>
    <col min="3" max="3" width="13.125" bestFit="1" customWidth="1"/>
    <col min="4" max="5" width="14.5" bestFit="1" customWidth="1"/>
  </cols>
  <sheetData>
    <row r="1" spans="1:5" ht="17.25" x14ac:dyDescent="0.4">
      <c r="A1" s="20" t="s">
        <v>0</v>
      </c>
      <c r="B1" s="20" t="s">
        <v>20</v>
      </c>
      <c r="C1" s="20" t="s">
        <v>2</v>
      </c>
      <c r="D1" s="21" t="s">
        <v>75</v>
      </c>
      <c r="E1" s="20" t="s">
        <v>5</v>
      </c>
    </row>
    <row r="2" spans="1:5" ht="17.25" x14ac:dyDescent="0.4">
      <c r="A2" s="9">
        <v>2025</v>
      </c>
      <c r="B2" s="9" t="s">
        <v>76</v>
      </c>
      <c r="C2" s="9" t="s">
        <v>11</v>
      </c>
      <c r="D2" s="10">
        <v>202560000</v>
      </c>
      <c r="E2" s="10">
        <v>246920639.99999997</v>
      </c>
    </row>
    <row r="3" spans="1:5" ht="17.25" x14ac:dyDescent="0.4">
      <c r="A3" s="9">
        <v>2025</v>
      </c>
      <c r="B3" s="9" t="s">
        <v>76</v>
      </c>
      <c r="C3" s="9" t="s">
        <v>12</v>
      </c>
      <c r="D3" s="10">
        <v>194560000</v>
      </c>
      <c r="E3" s="10">
        <v>259428640</v>
      </c>
    </row>
    <row r="4" spans="1:5" ht="17.25" x14ac:dyDescent="0.4">
      <c r="A4" s="9">
        <v>2025</v>
      </c>
      <c r="B4" s="9" t="s">
        <v>76</v>
      </c>
      <c r="C4" s="9" t="s">
        <v>13</v>
      </c>
      <c r="D4" s="10">
        <v>184560000</v>
      </c>
      <c r="E4" s="10">
        <v>235578640</v>
      </c>
    </row>
    <row r="5" spans="1:5" ht="17.25" x14ac:dyDescent="0.4">
      <c r="A5" s="9">
        <v>2025</v>
      </c>
      <c r="B5" s="9" t="s">
        <v>76</v>
      </c>
      <c r="C5" s="9" t="s">
        <v>14</v>
      </c>
      <c r="D5" s="10">
        <v>162560000</v>
      </c>
      <c r="E5" s="10">
        <v>198160640</v>
      </c>
    </row>
    <row r="6" spans="1:5" ht="17.25" x14ac:dyDescent="0.4">
      <c r="A6" s="9">
        <v>2025</v>
      </c>
      <c r="B6" s="9" t="s">
        <v>76</v>
      </c>
      <c r="C6" s="9" t="s">
        <v>15</v>
      </c>
      <c r="D6" s="10">
        <v>174560000</v>
      </c>
      <c r="E6" s="10">
        <v>219148640</v>
      </c>
    </row>
    <row r="7" spans="1:5" ht="17.25" x14ac:dyDescent="0.4">
      <c r="A7" s="9">
        <v>2025</v>
      </c>
      <c r="B7" s="9" t="s">
        <v>76</v>
      </c>
      <c r="C7" s="9" t="s">
        <v>77</v>
      </c>
      <c r="D7" s="10">
        <v>162560000</v>
      </c>
      <c r="E7" s="10">
        <v>191800640</v>
      </c>
    </row>
    <row r="8" spans="1:5" ht="17.25" x14ac:dyDescent="0.4">
      <c r="A8" s="9">
        <v>2025</v>
      </c>
      <c r="B8" s="9" t="s">
        <v>78</v>
      </c>
      <c r="C8" s="9" t="s">
        <v>11</v>
      </c>
      <c r="D8" s="10">
        <v>81024000</v>
      </c>
      <c r="E8" s="10">
        <v>98768256</v>
      </c>
    </row>
    <row r="9" spans="1:5" ht="17.25" x14ac:dyDescent="0.4">
      <c r="A9" s="9">
        <v>2025</v>
      </c>
      <c r="B9" s="9" t="s">
        <v>78</v>
      </c>
      <c r="C9" s="9" t="s">
        <v>12</v>
      </c>
      <c r="D9" s="10">
        <v>77824000</v>
      </c>
      <c r="E9" s="10">
        <v>103771456</v>
      </c>
    </row>
    <row r="10" spans="1:5" ht="17.25" x14ac:dyDescent="0.4">
      <c r="A10" s="9">
        <v>2025</v>
      </c>
      <c r="B10" s="9" t="s">
        <v>78</v>
      </c>
      <c r="C10" s="9" t="s">
        <v>13</v>
      </c>
      <c r="D10" s="10">
        <v>73824000</v>
      </c>
      <c r="E10" s="10">
        <v>94231456</v>
      </c>
    </row>
    <row r="11" spans="1:5" ht="17.25" x14ac:dyDescent="0.4">
      <c r="A11" s="9">
        <v>2025</v>
      </c>
      <c r="B11" s="9" t="s">
        <v>78</v>
      </c>
      <c r="C11" s="9" t="s">
        <v>14</v>
      </c>
      <c r="D11" s="10">
        <v>65024000</v>
      </c>
      <c r="E11" s="10">
        <v>79264256</v>
      </c>
    </row>
    <row r="12" spans="1:5" ht="17.25" x14ac:dyDescent="0.4">
      <c r="A12" s="9">
        <v>2025</v>
      </c>
      <c r="B12" s="9" t="s">
        <v>78</v>
      </c>
      <c r="C12" s="9" t="s">
        <v>15</v>
      </c>
      <c r="D12" s="10">
        <v>69824000</v>
      </c>
      <c r="E12" s="10">
        <v>87659456</v>
      </c>
    </row>
    <row r="13" spans="1:5" ht="17.25" x14ac:dyDescent="0.4">
      <c r="A13" s="9">
        <v>2025</v>
      </c>
      <c r="B13" s="9" t="s">
        <v>78</v>
      </c>
      <c r="C13" s="9" t="s">
        <v>77</v>
      </c>
      <c r="D13" s="10">
        <v>65024000</v>
      </c>
      <c r="E13" s="10">
        <v>76720256</v>
      </c>
    </row>
    <row r="14" spans="1:5" ht="17.25" x14ac:dyDescent="0.4">
      <c r="A14" s="9">
        <v>2025</v>
      </c>
      <c r="B14" s="9" t="s">
        <v>79</v>
      </c>
      <c r="C14" s="9" t="s">
        <v>11</v>
      </c>
      <c r="D14" s="10">
        <v>86695680</v>
      </c>
      <c r="E14" s="10">
        <v>105682033.92</v>
      </c>
    </row>
    <row r="15" spans="1:5" ht="17.25" x14ac:dyDescent="0.4">
      <c r="A15" s="9">
        <v>2025</v>
      </c>
      <c r="B15" s="9" t="s">
        <v>79</v>
      </c>
      <c r="C15" s="9" t="s">
        <v>12</v>
      </c>
      <c r="D15" s="10">
        <v>83271680</v>
      </c>
      <c r="E15" s="10">
        <v>111035457.92</v>
      </c>
    </row>
    <row r="16" spans="1:5" ht="17.25" x14ac:dyDescent="0.4">
      <c r="A16" s="9">
        <v>2025</v>
      </c>
      <c r="B16" s="9" t="s">
        <v>79</v>
      </c>
      <c r="C16" s="9" t="s">
        <v>13</v>
      </c>
      <c r="D16" s="10">
        <v>78991680</v>
      </c>
      <c r="E16" s="10">
        <v>100827657.92</v>
      </c>
    </row>
    <row r="17" spans="1:5" ht="17.25" x14ac:dyDescent="0.4">
      <c r="A17" s="9">
        <v>2025</v>
      </c>
      <c r="B17" s="9" t="s">
        <v>79</v>
      </c>
      <c r="C17" s="9" t="s">
        <v>14</v>
      </c>
      <c r="D17" s="10">
        <v>69575680</v>
      </c>
      <c r="E17" s="10">
        <v>84812753.920000002</v>
      </c>
    </row>
    <row r="18" spans="1:5" ht="17.25" x14ac:dyDescent="0.4">
      <c r="A18" s="9">
        <v>2025</v>
      </c>
      <c r="B18" s="9" t="s">
        <v>79</v>
      </c>
      <c r="C18" s="9" t="s">
        <v>15</v>
      </c>
      <c r="D18" s="10">
        <v>74711680</v>
      </c>
      <c r="E18" s="10">
        <v>93795617.920000002</v>
      </c>
    </row>
    <row r="19" spans="1:5" ht="17.25" x14ac:dyDescent="0.4">
      <c r="A19" s="9">
        <v>2025</v>
      </c>
      <c r="B19" s="9" t="s">
        <v>79</v>
      </c>
      <c r="C19" s="9" t="s">
        <v>77</v>
      </c>
      <c r="D19" s="10">
        <v>69575680</v>
      </c>
      <c r="E19" s="10">
        <v>82090673.920000002</v>
      </c>
    </row>
    <row r="20" spans="1:5" ht="17.25" x14ac:dyDescent="0.4">
      <c r="A20" s="9">
        <v>2025</v>
      </c>
      <c r="B20" s="9" t="s">
        <v>80</v>
      </c>
      <c r="C20" s="9" t="s">
        <v>11</v>
      </c>
      <c r="D20" s="10">
        <v>91030464</v>
      </c>
      <c r="E20" s="10">
        <v>110966135.61600001</v>
      </c>
    </row>
    <row r="21" spans="1:5" ht="17.25" x14ac:dyDescent="0.4">
      <c r="A21" s="9">
        <v>2025</v>
      </c>
      <c r="B21" s="9" t="s">
        <v>80</v>
      </c>
      <c r="C21" s="9" t="s">
        <v>12</v>
      </c>
      <c r="D21" s="10">
        <v>87435264</v>
      </c>
      <c r="E21" s="10">
        <v>116587230.816</v>
      </c>
    </row>
    <row r="22" spans="1:5" ht="17.25" x14ac:dyDescent="0.4">
      <c r="A22" s="9">
        <v>2025</v>
      </c>
      <c r="B22" s="9" t="s">
        <v>80</v>
      </c>
      <c r="C22" s="9" t="s">
        <v>13</v>
      </c>
      <c r="D22" s="10">
        <v>82941264</v>
      </c>
      <c r="E22" s="10">
        <v>105869040.816</v>
      </c>
    </row>
    <row r="23" spans="1:5" ht="17.25" x14ac:dyDescent="0.4">
      <c r="A23" s="9">
        <v>2025</v>
      </c>
      <c r="B23" s="9" t="s">
        <v>80</v>
      </c>
      <c r="C23" s="9" t="s">
        <v>14</v>
      </c>
      <c r="D23" s="10">
        <v>73054464</v>
      </c>
      <c r="E23" s="10">
        <v>89053391.616000012</v>
      </c>
    </row>
    <row r="24" spans="1:5" ht="17.25" x14ac:dyDescent="0.4">
      <c r="A24" s="9">
        <v>2025</v>
      </c>
      <c r="B24" s="9" t="s">
        <v>80</v>
      </c>
      <c r="C24" s="9" t="s">
        <v>15</v>
      </c>
      <c r="D24" s="10">
        <v>78447264</v>
      </c>
      <c r="E24" s="10">
        <v>98485398.816</v>
      </c>
    </row>
    <row r="25" spans="1:5" ht="17.25" x14ac:dyDescent="0.4">
      <c r="A25" s="9">
        <v>2025</v>
      </c>
      <c r="B25" s="9" t="s">
        <v>80</v>
      </c>
      <c r="C25" s="9" t="s">
        <v>77</v>
      </c>
      <c r="D25" s="10">
        <v>73054464</v>
      </c>
      <c r="E25" s="10">
        <v>86195207.616000012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80F3-DB51-4DEF-8E32-488F4A3329E6}">
  <dimension ref="A1:E25"/>
  <sheetViews>
    <sheetView workbookViewId="0">
      <pane ySplit="1" topLeftCell="A5" activePane="bottomLeft" state="frozen"/>
      <selection pane="bottomLeft" activeCell="E25" sqref="E5:E25"/>
    </sheetView>
  </sheetViews>
  <sheetFormatPr defaultRowHeight="14.25" x14ac:dyDescent="0.2"/>
  <cols>
    <col min="2" max="2" width="5.875" bestFit="1" customWidth="1"/>
    <col min="3" max="3" width="13.125" bestFit="1" customWidth="1"/>
    <col min="4" max="5" width="10.5" bestFit="1" customWidth="1"/>
  </cols>
  <sheetData>
    <row r="1" spans="1:5" ht="17.25" x14ac:dyDescent="0.4">
      <c r="A1" s="20" t="s">
        <v>0</v>
      </c>
      <c r="B1" s="20" t="s">
        <v>20</v>
      </c>
      <c r="C1" s="20" t="s">
        <v>2</v>
      </c>
      <c r="D1" s="21" t="s">
        <v>75</v>
      </c>
      <c r="E1" s="20" t="s">
        <v>5</v>
      </c>
    </row>
    <row r="2" spans="1:5" ht="17.25" x14ac:dyDescent="0.4">
      <c r="A2" s="9">
        <v>2025</v>
      </c>
      <c r="B2" s="9" t="s">
        <v>76</v>
      </c>
      <c r="C2" s="9" t="s">
        <v>11</v>
      </c>
      <c r="D2" s="10">
        <v>202560000</v>
      </c>
      <c r="E2" s="10">
        <v>246920639.99999997</v>
      </c>
    </row>
    <row r="3" spans="1:5" ht="17.25" x14ac:dyDescent="0.4">
      <c r="A3" s="9">
        <v>2025</v>
      </c>
      <c r="B3" s="9" t="s">
        <v>76</v>
      </c>
      <c r="C3" s="9" t="s">
        <v>12</v>
      </c>
      <c r="D3" s="10">
        <v>194560000</v>
      </c>
      <c r="E3" s="10">
        <v>259428640</v>
      </c>
    </row>
    <row r="4" spans="1:5" ht="17.25" x14ac:dyDescent="0.4">
      <c r="A4" s="9">
        <v>2025</v>
      </c>
      <c r="B4" s="9" t="s">
        <v>76</v>
      </c>
      <c r="C4" s="9" t="s">
        <v>13</v>
      </c>
      <c r="D4" s="10">
        <v>184560000</v>
      </c>
      <c r="E4" s="10">
        <v>235578640</v>
      </c>
    </row>
    <row r="5" spans="1:5" ht="17.25" x14ac:dyDescent="0.4">
      <c r="A5" s="9">
        <v>2025</v>
      </c>
      <c r="B5" s="9" t="s">
        <v>76</v>
      </c>
      <c r="C5" s="9" t="s">
        <v>14</v>
      </c>
      <c r="D5" s="10">
        <v>162560000</v>
      </c>
      <c r="E5" s="10">
        <v>198160640</v>
      </c>
    </row>
    <row r="6" spans="1:5" ht="17.25" x14ac:dyDescent="0.4">
      <c r="A6" s="9">
        <v>2025</v>
      </c>
      <c r="B6" s="9" t="s">
        <v>76</v>
      </c>
      <c r="C6" s="9" t="s">
        <v>15</v>
      </c>
      <c r="D6" s="10">
        <v>174560000</v>
      </c>
      <c r="E6" s="10">
        <v>219148640</v>
      </c>
    </row>
    <row r="7" spans="1:5" ht="17.25" x14ac:dyDescent="0.4">
      <c r="A7" s="9">
        <v>2025</v>
      </c>
      <c r="B7" s="9" t="s">
        <v>76</v>
      </c>
      <c r="C7" s="9" t="s">
        <v>77</v>
      </c>
      <c r="D7" s="10">
        <v>162560000</v>
      </c>
      <c r="E7" s="10">
        <v>191800640</v>
      </c>
    </row>
    <row r="8" spans="1:5" ht="17.25" x14ac:dyDescent="0.4">
      <c r="A8" s="9">
        <v>2025</v>
      </c>
      <c r="B8" s="9" t="s">
        <v>78</v>
      </c>
      <c r="C8" s="9" t="s">
        <v>11</v>
      </c>
      <c r="D8" s="10">
        <v>81024000</v>
      </c>
      <c r="E8" s="10">
        <v>98768256</v>
      </c>
    </row>
    <row r="9" spans="1:5" ht="17.25" x14ac:dyDescent="0.4">
      <c r="A9" s="9">
        <v>2025</v>
      </c>
      <c r="B9" s="9" t="s">
        <v>78</v>
      </c>
      <c r="C9" s="9" t="s">
        <v>12</v>
      </c>
      <c r="D9" s="10">
        <v>77824000</v>
      </c>
      <c r="E9" s="10">
        <v>103771456</v>
      </c>
    </row>
    <row r="10" spans="1:5" ht="17.25" x14ac:dyDescent="0.4">
      <c r="A10" s="9">
        <v>2025</v>
      </c>
      <c r="B10" s="9" t="s">
        <v>78</v>
      </c>
      <c r="C10" s="9" t="s">
        <v>13</v>
      </c>
      <c r="D10" s="10">
        <v>73824000</v>
      </c>
      <c r="E10" s="10">
        <v>94231456</v>
      </c>
    </row>
    <row r="11" spans="1:5" ht="17.25" x14ac:dyDescent="0.4">
      <c r="A11" s="9">
        <v>2025</v>
      </c>
      <c r="B11" s="9" t="s">
        <v>78</v>
      </c>
      <c r="C11" s="9" t="s">
        <v>14</v>
      </c>
      <c r="D11" s="10">
        <v>65024000</v>
      </c>
      <c r="E11" s="10">
        <v>79264256</v>
      </c>
    </row>
    <row r="12" spans="1:5" ht="17.25" x14ac:dyDescent="0.4">
      <c r="A12" s="9">
        <v>2025</v>
      </c>
      <c r="B12" s="9" t="s">
        <v>78</v>
      </c>
      <c r="C12" s="9" t="s">
        <v>15</v>
      </c>
      <c r="D12" s="10">
        <v>69824000</v>
      </c>
      <c r="E12" s="10">
        <v>87659456</v>
      </c>
    </row>
    <row r="13" spans="1:5" ht="17.25" x14ac:dyDescent="0.4">
      <c r="A13" s="9">
        <v>2025</v>
      </c>
      <c r="B13" s="9" t="s">
        <v>78</v>
      </c>
      <c r="C13" s="9" t="s">
        <v>77</v>
      </c>
      <c r="D13" s="10">
        <v>65024000</v>
      </c>
      <c r="E13" s="10">
        <v>76720256</v>
      </c>
    </row>
    <row r="14" spans="1:5" ht="17.25" x14ac:dyDescent="0.4">
      <c r="A14" s="9">
        <v>2025</v>
      </c>
      <c r="B14" s="9" t="s">
        <v>79</v>
      </c>
      <c r="C14" s="9" t="s">
        <v>11</v>
      </c>
      <c r="D14" s="10">
        <v>86695680</v>
      </c>
      <c r="E14" s="10">
        <v>105682033.92</v>
      </c>
    </row>
    <row r="15" spans="1:5" ht="17.25" x14ac:dyDescent="0.4">
      <c r="A15" s="9">
        <v>2025</v>
      </c>
      <c r="B15" s="9" t="s">
        <v>79</v>
      </c>
      <c r="C15" s="9" t="s">
        <v>12</v>
      </c>
      <c r="D15" s="10">
        <v>83271680</v>
      </c>
      <c r="E15" s="10">
        <v>111035457.92</v>
      </c>
    </row>
    <row r="16" spans="1:5" ht="17.25" x14ac:dyDescent="0.4">
      <c r="A16" s="9">
        <v>2025</v>
      </c>
      <c r="B16" s="9" t="s">
        <v>79</v>
      </c>
      <c r="C16" s="9" t="s">
        <v>13</v>
      </c>
      <c r="D16" s="10">
        <v>78991680</v>
      </c>
      <c r="E16" s="10">
        <v>100827657.92</v>
      </c>
    </row>
    <row r="17" spans="1:5" ht="17.25" x14ac:dyDescent="0.4">
      <c r="A17" s="9">
        <v>2025</v>
      </c>
      <c r="B17" s="9" t="s">
        <v>79</v>
      </c>
      <c r="C17" s="9" t="s">
        <v>14</v>
      </c>
      <c r="D17" s="10">
        <v>69575680</v>
      </c>
      <c r="E17" s="10">
        <v>84812753.920000002</v>
      </c>
    </row>
    <row r="18" spans="1:5" ht="17.25" x14ac:dyDescent="0.4">
      <c r="A18" s="9">
        <v>2025</v>
      </c>
      <c r="B18" s="9" t="s">
        <v>79</v>
      </c>
      <c r="C18" s="9" t="s">
        <v>15</v>
      </c>
      <c r="D18" s="10">
        <v>74711680</v>
      </c>
      <c r="E18" s="10">
        <v>93795617.920000002</v>
      </c>
    </row>
    <row r="19" spans="1:5" ht="17.25" x14ac:dyDescent="0.4">
      <c r="A19" s="9">
        <v>2025</v>
      </c>
      <c r="B19" s="9" t="s">
        <v>79</v>
      </c>
      <c r="C19" s="9" t="s">
        <v>77</v>
      </c>
      <c r="D19" s="10">
        <v>69575680</v>
      </c>
      <c r="E19" s="10">
        <v>82090673.920000002</v>
      </c>
    </row>
    <row r="20" spans="1:5" ht="17.25" x14ac:dyDescent="0.4">
      <c r="A20" s="9">
        <v>2025</v>
      </c>
      <c r="B20" s="9" t="s">
        <v>80</v>
      </c>
      <c r="C20" s="9" t="s">
        <v>11</v>
      </c>
      <c r="D20" s="10">
        <v>91030464</v>
      </c>
      <c r="E20" s="10">
        <v>110966135.61600001</v>
      </c>
    </row>
    <row r="21" spans="1:5" ht="17.25" x14ac:dyDescent="0.4">
      <c r="A21" s="9">
        <v>2025</v>
      </c>
      <c r="B21" s="9" t="s">
        <v>80</v>
      </c>
      <c r="C21" s="9" t="s">
        <v>12</v>
      </c>
      <c r="D21" s="10">
        <v>87435264</v>
      </c>
      <c r="E21" s="10">
        <v>116587230.816</v>
      </c>
    </row>
    <row r="22" spans="1:5" ht="17.25" x14ac:dyDescent="0.4">
      <c r="A22" s="9">
        <v>2025</v>
      </c>
      <c r="B22" s="9" t="s">
        <v>80</v>
      </c>
      <c r="C22" s="9" t="s">
        <v>13</v>
      </c>
      <c r="D22" s="10">
        <v>82941264</v>
      </c>
      <c r="E22" s="10">
        <v>105869040.816</v>
      </c>
    </row>
    <row r="23" spans="1:5" ht="17.25" x14ac:dyDescent="0.4">
      <c r="A23" s="9">
        <v>2025</v>
      </c>
      <c r="B23" s="9" t="s">
        <v>80</v>
      </c>
      <c r="C23" s="9" t="s">
        <v>14</v>
      </c>
      <c r="D23" s="10">
        <v>73054464</v>
      </c>
      <c r="E23" s="10">
        <v>89053391.616000012</v>
      </c>
    </row>
    <row r="24" spans="1:5" ht="17.25" x14ac:dyDescent="0.4">
      <c r="A24" s="9">
        <v>2025</v>
      </c>
      <c r="B24" s="9" t="s">
        <v>80</v>
      </c>
      <c r="C24" s="9" t="s">
        <v>15</v>
      </c>
      <c r="D24" s="10">
        <v>78447264</v>
      </c>
      <c r="E24" s="10">
        <v>98485398.816</v>
      </c>
    </row>
    <row r="25" spans="1:5" ht="17.25" x14ac:dyDescent="0.4">
      <c r="A25" s="9">
        <v>2025</v>
      </c>
      <c r="B25" s="9" t="s">
        <v>80</v>
      </c>
      <c r="C25" s="9" t="s">
        <v>77</v>
      </c>
      <c r="D25" s="10">
        <v>73054464</v>
      </c>
      <c r="E25" s="10">
        <v>86195207.616000012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CA3B-DD63-449A-8157-9AFDD61260A3}">
  <dimension ref="A1:E49"/>
  <sheetViews>
    <sheetView workbookViewId="0">
      <pane ySplit="1" topLeftCell="A23" activePane="bottomLeft" state="frozen"/>
      <selection pane="bottomLeft" activeCell="C2" sqref="C2:E49"/>
    </sheetView>
  </sheetViews>
  <sheetFormatPr defaultRowHeight="14.25" x14ac:dyDescent="0.2"/>
  <cols>
    <col min="1" max="1" width="7.875" style="32" bestFit="1" customWidth="1"/>
    <col min="2" max="2" width="5.5" bestFit="1" customWidth="1"/>
    <col min="3" max="3" width="16.5" bestFit="1" customWidth="1"/>
    <col min="4" max="4" width="19.5" style="72" bestFit="1" customWidth="1"/>
    <col min="5" max="5" width="16.875" bestFit="1" customWidth="1"/>
  </cols>
  <sheetData>
    <row r="1" spans="1:5" ht="18" x14ac:dyDescent="0.45">
      <c r="A1" s="31" t="s">
        <v>0</v>
      </c>
      <c r="B1" s="2" t="s">
        <v>20</v>
      </c>
      <c r="C1" s="2" t="s">
        <v>81</v>
      </c>
      <c r="D1" s="70" t="s">
        <v>82</v>
      </c>
      <c r="E1" s="2" t="s">
        <v>83</v>
      </c>
    </row>
    <row r="2" spans="1:5" ht="17.25" x14ac:dyDescent="0.4">
      <c r="A2" s="23">
        <v>2026</v>
      </c>
      <c r="B2" s="10">
        <v>1</v>
      </c>
      <c r="C2" s="10">
        <v>69753358</v>
      </c>
      <c r="D2" s="71">
        <v>0</v>
      </c>
      <c r="E2" s="10">
        <v>10703133</v>
      </c>
    </row>
    <row r="3" spans="1:5" ht="17.25" x14ac:dyDescent="0.4">
      <c r="A3" s="23">
        <v>2026</v>
      </c>
      <c r="B3" s="10">
        <v>2</v>
      </c>
      <c r="C3" s="10">
        <v>69753359</v>
      </c>
      <c r="D3" s="71">
        <v>1</v>
      </c>
      <c r="E3" s="10">
        <v>10703134</v>
      </c>
    </row>
    <row r="4" spans="1:5" ht="17.25" x14ac:dyDescent="0.4">
      <c r="A4" s="23">
        <v>2026</v>
      </c>
      <c r="B4" s="10">
        <v>3</v>
      </c>
      <c r="C4" s="10">
        <v>69753360</v>
      </c>
      <c r="D4" s="71">
        <v>2</v>
      </c>
      <c r="E4" s="10">
        <v>10703135</v>
      </c>
    </row>
    <row r="5" spans="1:5" ht="17.25" x14ac:dyDescent="0.4">
      <c r="A5" s="23">
        <v>2026</v>
      </c>
      <c r="B5" s="10">
        <v>4</v>
      </c>
      <c r="C5" s="10">
        <v>69753361</v>
      </c>
      <c r="D5" s="71">
        <v>3</v>
      </c>
      <c r="E5" s="10">
        <v>10703136</v>
      </c>
    </row>
    <row r="6" spans="1:5" ht="17.25" x14ac:dyDescent="0.4">
      <c r="A6" s="23">
        <v>2026</v>
      </c>
      <c r="B6" s="10">
        <v>5</v>
      </c>
      <c r="C6" s="10">
        <v>69753362</v>
      </c>
      <c r="D6" s="71">
        <v>4</v>
      </c>
      <c r="E6" s="10">
        <v>10703137</v>
      </c>
    </row>
    <row r="7" spans="1:5" ht="17.25" x14ac:dyDescent="0.4">
      <c r="A7" s="23">
        <v>2026</v>
      </c>
      <c r="B7" s="10">
        <v>6</v>
      </c>
      <c r="C7" s="10">
        <v>69753363</v>
      </c>
      <c r="D7" s="71">
        <v>5</v>
      </c>
      <c r="E7" s="10">
        <v>10703138</v>
      </c>
    </row>
    <row r="8" spans="1:5" ht="17.25" x14ac:dyDescent="0.4">
      <c r="A8" s="23">
        <v>2026</v>
      </c>
      <c r="B8" s="10">
        <v>7</v>
      </c>
      <c r="C8" s="10">
        <v>69753364</v>
      </c>
      <c r="D8" s="71">
        <v>6</v>
      </c>
      <c r="E8" s="10">
        <v>10703139</v>
      </c>
    </row>
    <row r="9" spans="1:5" ht="17.25" x14ac:dyDescent="0.4">
      <c r="A9" s="23">
        <v>2026</v>
      </c>
      <c r="B9" s="10">
        <v>8</v>
      </c>
      <c r="C9" s="10">
        <v>69753365</v>
      </c>
      <c r="D9" s="71">
        <v>7</v>
      </c>
      <c r="E9" s="10">
        <v>10703140</v>
      </c>
    </row>
    <row r="10" spans="1:5" ht="17.25" x14ac:dyDescent="0.4">
      <c r="A10" s="23">
        <v>2026</v>
      </c>
      <c r="B10" s="10">
        <v>9</v>
      </c>
      <c r="C10" s="10">
        <v>69753366</v>
      </c>
      <c r="D10" s="71">
        <v>8</v>
      </c>
      <c r="E10" s="10">
        <v>10703141</v>
      </c>
    </row>
    <row r="11" spans="1:5" ht="17.25" x14ac:dyDescent="0.4">
      <c r="A11" s="23">
        <v>2026</v>
      </c>
      <c r="B11" s="10">
        <v>10</v>
      </c>
      <c r="C11" s="10">
        <v>69753367</v>
      </c>
      <c r="D11" s="71">
        <v>9</v>
      </c>
      <c r="E11" s="10">
        <v>10703142</v>
      </c>
    </row>
    <row r="12" spans="1:5" ht="17.25" x14ac:dyDescent="0.4">
      <c r="A12" s="23">
        <v>2026</v>
      </c>
      <c r="B12" s="10">
        <v>11</v>
      </c>
      <c r="C12" s="10">
        <v>69753368</v>
      </c>
      <c r="D12" s="71">
        <v>10</v>
      </c>
      <c r="E12" s="10">
        <v>10703143</v>
      </c>
    </row>
    <row r="13" spans="1:5" ht="17.25" x14ac:dyDescent="0.4">
      <c r="A13" s="23">
        <v>2026</v>
      </c>
      <c r="B13" s="10">
        <v>12</v>
      </c>
      <c r="C13" s="10">
        <v>69753369</v>
      </c>
      <c r="D13" s="71">
        <v>11</v>
      </c>
      <c r="E13" s="10">
        <v>10703144</v>
      </c>
    </row>
    <row r="14" spans="1:5" ht="17.25" x14ac:dyDescent="0.4">
      <c r="A14" s="23">
        <v>2025</v>
      </c>
      <c r="B14" s="10">
        <v>1</v>
      </c>
      <c r="C14" s="10">
        <v>69753370</v>
      </c>
      <c r="D14" s="71">
        <v>12</v>
      </c>
      <c r="E14" s="10">
        <v>10703145</v>
      </c>
    </row>
    <row r="15" spans="1:5" ht="17.25" x14ac:dyDescent="0.4">
      <c r="A15" s="23">
        <v>2025</v>
      </c>
      <c r="B15" s="10">
        <v>2</v>
      </c>
      <c r="C15" s="10">
        <v>69753371</v>
      </c>
      <c r="D15" s="71">
        <v>13</v>
      </c>
      <c r="E15" s="10">
        <v>10703146</v>
      </c>
    </row>
    <row r="16" spans="1:5" ht="17.25" x14ac:dyDescent="0.4">
      <c r="A16" s="23">
        <v>2025</v>
      </c>
      <c r="B16" s="10">
        <v>3</v>
      </c>
      <c r="C16" s="10">
        <v>69753372</v>
      </c>
      <c r="D16" s="71">
        <v>14</v>
      </c>
      <c r="E16" s="10">
        <v>10703147</v>
      </c>
    </row>
    <row r="17" spans="1:5" ht="17.25" x14ac:dyDescent="0.4">
      <c r="A17" s="23">
        <v>2025</v>
      </c>
      <c r="B17" s="10">
        <v>4</v>
      </c>
      <c r="C17" s="10">
        <v>69753373</v>
      </c>
      <c r="D17" s="71">
        <v>15</v>
      </c>
      <c r="E17" s="10">
        <v>10703148</v>
      </c>
    </row>
    <row r="18" spans="1:5" ht="17.25" x14ac:dyDescent="0.4">
      <c r="A18" s="23">
        <v>2025</v>
      </c>
      <c r="B18" s="10">
        <v>5</v>
      </c>
      <c r="C18" s="10">
        <v>69753374</v>
      </c>
      <c r="D18" s="71">
        <v>16</v>
      </c>
      <c r="E18" s="10">
        <v>10703149</v>
      </c>
    </row>
    <row r="19" spans="1:5" ht="17.25" x14ac:dyDescent="0.4">
      <c r="A19" s="23">
        <v>2025</v>
      </c>
      <c r="B19" s="10">
        <v>6</v>
      </c>
      <c r="C19" s="10">
        <v>69753375</v>
      </c>
      <c r="D19" s="71">
        <v>17</v>
      </c>
      <c r="E19" s="10">
        <v>10703150</v>
      </c>
    </row>
    <row r="20" spans="1:5" ht="17.25" x14ac:dyDescent="0.4">
      <c r="A20" s="23">
        <v>2025</v>
      </c>
      <c r="B20" s="10">
        <v>7</v>
      </c>
      <c r="C20" s="10">
        <v>69753376</v>
      </c>
      <c r="D20" s="71">
        <v>18</v>
      </c>
      <c r="E20" s="10">
        <v>10703151</v>
      </c>
    </row>
    <row r="21" spans="1:5" ht="17.25" x14ac:dyDescent="0.4">
      <c r="A21" s="23">
        <v>2025</v>
      </c>
      <c r="B21" s="10">
        <v>8</v>
      </c>
      <c r="C21" s="10">
        <v>69753377</v>
      </c>
      <c r="D21" s="71">
        <v>19</v>
      </c>
      <c r="E21" s="10">
        <v>10703152</v>
      </c>
    </row>
    <row r="22" spans="1:5" ht="17.25" x14ac:dyDescent="0.4">
      <c r="A22" s="23">
        <v>2025</v>
      </c>
      <c r="B22" s="10">
        <v>9</v>
      </c>
      <c r="C22" s="10">
        <v>69753378</v>
      </c>
      <c r="D22" s="71">
        <v>20</v>
      </c>
      <c r="E22" s="10">
        <v>10703153</v>
      </c>
    </row>
    <row r="23" spans="1:5" ht="17.25" x14ac:dyDescent="0.4">
      <c r="A23" s="23">
        <v>2025</v>
      </c>
      <c r="B23" s="10">
        <v>10</v>
      </c>
      <c r="C23" s="10">
        <v>69753379</v>
      </c>
      <c r="D23" s="71">
        <v>21</v>
      </c>
      <c r="E23" s="10">
        <v>10703154</v>
      </c>
    </row>
    <row r="24" spans="1:5" ht="17.25" x14ac:dyDescent="0.4">
      <c r="A24" s="23">
        <v>2025</v>
      </c>
      <c r="B24" s="10">
        <v>11</v>
      </c>
      <c r="C24" s="10">
        <v>69753380</v>
      </c>
      <c r="D24" s="71">
        <v>22</v>
      </c>
      <c r="E24" s="10">
        <v>10703155</v>
      </c>
    </row>
    <row r="25" spans="1:5" ht="17.25" x14ac:dyDescent="0.4">
      <c r="A25" s="23">
        <v>2025</v>
      </c>
      <c r="B25" s="10">
        <v>12</v>
      </c>
      <c r="C25" s="10">
        <v>69753381</v>
      </c>
      <c r="D25" s="71">
        <v>23</v>
      </c>
      <c r="E25" s="10">
        <v>10703156</v>
      </c>
    </row>
    <row r="26" spans="1:5" ht="17.25" x14ac:dyDescent="0.4">
      <c r="A26" s="23">
        <v>2024</v>
      </c>
      <c r="B26" s="10">
        <v>1</v>
      </c>
      <c r="C26" s="10">
        <v>69753382</v>
      </c>
      <c r="D26" s="71">
        <v>24</v>
      </c>
      <c r="E26" s="10">
        <v>10703157</v>
      </c>
    </row>
    <row r="27" spans="1:5" ht="17.25" x14ac:dyDescent="0.4">
      <c r="A27" s="23">
        <v>2024</v>
      </c>
      <c r="B27" s="10">
        <v>2</v>
      </c>
      <c r="C27" s="10">
        <v>69753383</v>
      </c>
      <c r="D27" s="71">
        <v>25</v>
      </c>
      <c r="E27" s="10">
        <v>10703158</v>
      </c>
    </row>
    <row r="28" spans="1:5" ht="17.25" x14ac:dyDescent="0.4">
      <c r="A28" s="23">
        <v>2024</v>
      </c>
      <c r="B28" s="10">
        <v>3</v>
      </c>
      <c r="C28" s="10">
        <v>69753384</v>
      </c>
      <c r="D28" s="71">
        <v>26</v>
      </c>
      <c r="E28" s="10">
        <v>10703159</v>
      </c>
    </row>
    <row r="29" spans="1:5" ht="17.25" x14ac:dyDescent="0.4">
      <c r="A29" s="23">
        <v>2024</v>
      </c>
      <c r="B29" s="10">
        <v>4</v>
      </c>
      <c r="C29" s="10">
        <v>69753385</v>
      </c>
      <c r="D29" s="71">
        <v>27</v>
      </c>
      <c r="E29" s="10">
        <v>10703160</v>
      </c>
    </row>
    <row r="30" spans="1:5" ht="17.25" x14ac:dyDescent="0.4">
      <c r="A30" s="23">
        <v>2024</v>
      </c>
      <c r="B30" s="10">
        <v>5</v>
      </c>
      <c r="C30" s="10">
        <v>69753386</v>
      </c>
      <c r="D30" s="71">
        <v>28</v>
      </c>
      <c r="E30" s="10">
        <v>10703161</v>
      </c>
    </row>
    <row r="31" spans="1:5" ht="17.25" x14ac:dyDescent="0.4">
      <c r="A31" s="23">
        <v>2024</v>
      </c>
      <c r="B31" s="10">
        <v>6</v>
      </c>
      <c r="C31" s="10">
        <v>69753387</v>
      </c>
      <c r="D31" s="71">
        <v>29</v>
      </c>
      <c r="E31" s="10">
        <v>10703162</v>
      </c>
    </row>
    <row r="32" spans="1:5" ht="17.25" x14ac:dyDescent="0.4">
      <c r="A32" s="23">
        <v>2024</v>
      </c>
      <c r="B32" s="10">
        <v>7</v>
      </c>
      <c r="C32" s="10">
        <v>69753388</v>
      </c>
      <c r="D32" s="71">
        <v>30</v>
      </c>
      <c r="E32" s="10">
        <v>10703163</v>
      </c>
    </row>
    <row r="33" spans="1:5" ht="17.25" x14ac:dyDescent="0.4">
      <c r="A33" s="23">
        <v>2024</v>
      </c>
      <c r="B33" s="10">
        <v>8</v>
      </c>
      <c r="C33" s="10">
        <v>69753389</v>
      </c>
      <c r="D33" s="71">
        <v>31</v>
      </c>
      <c r="E33" s="10">
        <v>10703164</v>
      </c>
    </row>
    <row r="34" spans="1:5" ht="17.25" x14ac:dyDescent="0.4">
      <c r="A34" s="23">
        <v>2024</v>
      </c>
      <c r="B34" s="10">
        <v>9</v>
      </c>
      <c r="C34" s="10">
        <v>69753390</v>
      </c>
      <c r="D34" s="71">
        <v>32</v>
      </c>
      <c r="E34" s="10">
        <v>10703165</v>
      </c>
    </row>
    <row r="35" spans="1:5" ht="17.25" x14ac:dyDescent="0.4">
      <c r="A35" s="23">
        <v>2024</v>
      </c>
      <c r="B35" s="10">
        <v>10</v>
      </c>
      <c r="C35" s="10">
        <v>69753391</v>
      </c>
      <c r="D35" s="71">
        <v>33</v>
      </c>
      <c r="E35" s="10">
        <v>10703166</v>
      </c>
    </row>
    <row r="36" spans="1:5" ht="17.25" x14ac:dyDescent="0.4">
      <c r="A36" s="23">
        <v>2024</v>
      </c>
      <c r="B36" s="10">
        <v>11</v>
      </c>
      <c r="C36" s="10">
        <v>69753392</v>
      </c>
      <c r="D36" s="71">
        <v>34</v>
      </c>
      <c r="E36" s="10">
        <v>10703167</v>
      </c>
    </row>
    <row r="37" spans="1:5" ht="17.25" x14ac:dyDescent="0.4">
      <c r="A37" s="23">
        <v>2024</v>
      </c>
      <c r="B37" s="10">
        <v>12</v>
      </c>
      <c r="C37" s="10">
        <v>69753393</v>
      </c>
      <c r="D37" s="71">
        <v>35</v>
      </c>
      <c r="E37" s="10">
        <v>10703168</v>
      </c>
    </row>
    <row r="38" spans="1:5" ht="17.25" x14ac:dyDescent="0.4">
      <c r="A38" s="23">
        <v>2023</v>
      </c>
      <c r="B38" s="10">
        <v>1</v>
      </c>
      <c r="C38" s="10">
        <v>69753394</v>
      </c>
      <c r="D38" s="71">
        <v>36</v>
      </c>
      <c r="E38" s="10">
        <v>10703169</v>
      </c>
    </row>
    <row r="39" spans="1:5" ht="17.25" x14ac:dyDescent="0.4">
      <c r="A39" s="23">
        <v>2023</v>
      </c>
      <c r="B39" s="10">
        <v>2</v>
      </c>
      <c r="C39" s="10">
        <v>69753395</v>
      </c>
      <c r="D39" s="71">
        <v>37</v>
      </c>
      <c r="E39" s="10">
        <v>10703170</v>
      </c>
    </row>
    <row r="40" spans="1:5" ht="17.25" x14ac:dyDescent="0.4">
      <c r="A40" s="23">
        <v>2023</v>
      </c>
      <c r="B40" s="10">
        <v>3</v>
      </c>
      <c r="C40" s="10">
        <v>69753396</v>
      </c>
      <c r="D40" s="71">
        <v>38</v>
      </c>
      <c r="E40" s="10">
        <v>10703171</v>
      </c>
    </row>
    <row r="41" spans="1:5" ht="17.25" x14ac:dyDescent="0.4">
      <c r="A41" s="23">
        <v>2023</v>
      </c>
      <c r="B41" s="10">
        <v>4</v>
      </c>
      <c r="C41" s="10">
        <v>69753397</v>
      </c>
      <c r="D41" s="71">
        <v>39</v>
      </c>
      <c r="E41" s="10">
        <v>10703172</v>
      </c>
    </row>
    <row r="42" spans="1:5" ht="17.25" x14ac:dyDescent="0.4">
      <c r="A42" s="23">
        <v>2023</v>
      </c>
      <c r="B42" s="10">
        <v>5</v>
      </c>
      <c r="C42" s="10">
        <v>69753398</v>
      </c>
      <c r="D42" s="71">
        <v>40</v>
      </c>
      <c r="E42" s="10">
        <v>10703173</v>
      </c>
    </row>
    <row r="43" spans="1:5" ht="17.25" x14ac:dyDescent="0.4">
      <c r="A43" s="23">
        <v>2023</v>
      </c>
      <c r="B43" s="10">
        <v>6</v>
      </c>
      <c r="C43" s="10">
        <v>69753399</v>
      </c>
      <c r="D43" s="71">
        <v>41</v>
      </c>
      <c r="E43" s="10">
        <v>10703174</v>
      </c>
    </row>
    <row r="44" spans="1:5" ht="17.25" x14ac:dyDescent="0.4">
      <c r="A44" s="23">
        <v>2023</v>
      </c>
      <c r="B44" s="10">
        <v>7</v>
      </c>
      <c r="C44" s="10">
        <v>69753400</v>
      </c>
      <c r="D44" s="71">
        <v>42</v>
      </c>
      <c r="E44" s="10">
        <v>10703175</v>
      </c>
    </row>
    <row r="45" spans="1:5" ht="17.25" x14ac:dyDescent="0.4">
      <c r="A45" s="23">
        <v>2023</v>
      </c>
      <c r="B45" s="10">
        <v>8</v>
      </c>
      <c r="C45" s="10">
        <v>69753401</v>
      </c>
      <c r="D45" s="71">
        <v>43</v>
      </c>
      <c r="E45" s="10">
        <v>10703176</v>
      </c>
    </row>
    <row r="46" spans="1:5" ht="17.25" x14ac:dyDescent="0.4">
      <c r="A46" s="23">
        <v>2023</v>
      </c>
      <c r="B46" s="10">
        <v>9</v>
      </c>
      <c r="C46" s="10">
        <v>69753402</v>
      </c>
      <c r="D46" s="71">
        <v>44</v>
      </c>
      <c r="E46" s="10">
        <v>10703177</v>
      </c>
    </row>
    <row r="47" spans="1:5" ht="17.25" x14ac:dyDescent="0.4">
      <c r="A47" s="23">
        <v>2023</v>
      </c>
      <c r="B47" s="10">
        <v>10</v>
      </c>
      <c r="C47" s="10">
        <v>69753403</v>
      </c>
      <c r="D47" s="71">
        <v>45</v>
      </c>
      <c r="E47" s="10">
        <v>10703178</v>
      </c>
    </row>
    <row r="48" spans="1:5" ht="17.25" x14ac:dyDescent="0.4">
      <c r="A48" s="23">
        <v>2023</v>
      </c>
      <c r="B48" s="10">
        <v>11</v>
      </c>
      <c r="C48" s="10">
        <v>69753404</v>
      </c>
      <c r="D48" s="71">
        <v>46</v>
      </c>
      <c r="E48" s="10">
        <v>10703179</v>
      </c>
    </row>
    <row r="49" spans="1:5" ht="17.25" x14ac:dyDescent="0.4">
      <c r="A49" s="23">
        <v>2023</v>
      </c>
      <c r="B49" s="10">
        <v>12</v>
      </c>
      <c r="C49" s="10">
        <v>69753405</v>
      </c>
      <c r="D49" s="71">
        <v>47</v>
      </c>
      <c r="E49" s="10">
        <v>10703180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B7A5-90EE-4848-999E-CE0C79A66F00}">
  <dimension ref="A1:N11"/>
  <sheetViews>
    <sheetView workbookViewId="0">
      <selection activeCell="E3" sqref="E3"/>
    </sheetView>
  </sheetViews>
  <sheetFormatPr defaultRowHeight="14.25" x14ac:dyDescent="0.2"/>
  <cols>
    <col min="1" max="1" width="10.875" bestFit="1" customWidth="1"/>
    <col min="2" max="2" width="13.875" bestFit="1" customWidth="1"/>
    <col min="3" max="3" width="15" style="29" bestFit="1" customWidth="1"/>
    <col min="4" max="4" width="14.75" style="29" bestFit="1" customWidth="1"/>
    <col min="5" max="5" width="14" style="29" bestFit="1" customWidth="1"/>
    <col min="6" max="6" width="13.75" style="29" bestFit="1" customWidth="1"/>
    <col min="7" max="7" width="14.75" style="38" bestFit="1" customWidth="1"/>
    <col min="8" max="8" width="13.875" bestFit="1" customWidth="1"/>
    <col min="9" max="9" width="13.625" bestFit="1" customWidth="1"/>
    <col min="10" max="11" width="14.875" style="38" bestFit="1" customWidth="1"/>
    <col min="12" max="12" width="16.375" style="38" bestFit="1" customWidth="1"/>
    <col min="14" max="14" width="13.625" bestFit="1" customWidth="1"/>
  </cols>
  <sheetData>
    <row r="1" spans="1:14" x14ac:dyDescent="0.2">
      <c r="A1" t="s">
        <v>1</v>
      </c>
      <c r="B1" t="s">
        <v>2</v>
      </c>
      <c r="C1" s="29" t="s">
        <v>84</v>
      </c>
      <c r="D1" s="29" t="s">
        <v>85</v>
      </c>
      <c r="E1" s="29" t="s">
        <v>86</v>
      </c>
      <c r="F1" s="29" t="s">
        <v>87</v>
      </c>
    </row>
    <row r="2" spans="1:14" x14ac:dyDescent="0.2">
      <c r="A2" t="s">
        <v>16</v>
      </c>
      <c r="B2" t="s">
        <v>88</v>
      </c>
      <c r="C2" s="29">
        <v>708748354.29999995</v>
      </c>
      <c r="D2" s="29">
        <v>183278535.10000002</v>
      </c>
      <c r="E2" s="29">
        <v>33527069</v>
      </c>
      <c r="F2" s="29">
        <v>20729756</v>
      </c>
      <c r="G2" s="38">
        <f>C2-C5</f>
        <v>622067032.5999999</v>
      </c>
      <c r="H2" s="55"/>
      <c r="I2" s="39"/>
      <c r="N2" s="39"/>
    </row>
    <row r="3" spans="1:14" x14ac:dyDescent="0.2">
      <c r="A3" t="s">
        <v>16</v>
      </c>
      <c r="B3" t="s">
        <v>89</v>
      </c>
      <c r="C3" s="29">
        <v>391008730.88999999</v>
      </c>
      <c r="D3" s="29">
        <v>105320908.5</v>
      </c>
      <c r="E3" s="29">
        <v>18780295.039999999</v>
      </c>
      <c r="F3" s="29">
        <v>18002800</v>
      </c>
      <c r="H3" s="55"/>
      <c r="I3" s="55"/>
      <c r="N3" s="39"/>
    </row>
    <row r="4" spans="1:14" x14ac:dyDescent="0.2">
      <c r="A4" t="s">
        <v>16</v>
      </c>
      <c r="B4" t="s">
        <v>12</v>
      </c>
      <c r="C4" s="29">
        <v>39565281.399999999</v>
      </c>
      <c r="D4" s="29">
        <v>25884026.670000002</v>
      </c>
      <c r="E4" s="29">
        <v>14019387.160000004</v>
      </c>
      <c r="F4" s="29">
        <v>13130104.52</v>
      </c>
      <c r="H4" s="35"/>
      <c r="I4" s="39"/>
      <c r="N4" s="39"/>
    </row>
    <row r="5" spans="1:14" x14ac:dyDescent="0.2">
      <c r="A5" t="s">
        <v>17</v>
      </c>
      <c r="B5" t="s">
        <v>88</v>
      </c>
      <c r="C5" s="29">
        <v>86681321.700000063</v>
      </c>
      <c r="D5" s="29">
        <v>69889381</v>
      </c>
      <c r="E5" s="29">
        <v>9277948.209999999</v>
      </c>
      <c r="F5" s="29">
        <v>5714158.2599999998</v>
      </c>
      <c r="H5" s="35"/>
      <c r="I5" s="39"/>
      <c r="N5" s="39"/>
    </row>
    <row r="6" spans="1:14" x14ac:dyDescent="0.2">
      <c r="A6" t="s">
        <v>17</v>
      </c>
      <c r="B6" t="s">
        <v>89</v>
      </c>
      <c r="C6" s="29">
        <v>14922940</v>
      </c>
      <c r="D6" s="29">
        <v>4172570</v>
      </c>
      <c r="E6" s="29">
        <v>369150</v>
      </c>
      <c r="F6" s="29">
        <v>364700</v>
      </c>
      <c r="H6" s="55"/>
      <c r="I6" s="39"/>
      <c r="N6" s="39"/>
    </row>
    <row r="7" spans="1:14" x14ac:dyDescent="0.2">
      <c r="A7" t="s">
        <v>17</v>
      </c>
      <c r="B7" t="s">
        <v>12</v>
      </c>
      <c r="C7" s="29">
        <v>20865912</v>
      </c>
      <c r="D7" s="29">
        <v>39000</v>
      </c>
      <c r="E7" s="29">
        <v>96049.959999999992</v>
      </c>
      <c r="F7" s="29">
        <v>93618.59</v>
      </c>
      <c r="H7" s="55"/>
      <c r="N7" s="39"/>
    </row>
    <row r="8" spans="1:14" x14ac:dyDescent="0.2">
      <c r="A8" t="s">
        <v>16</v>
      </c>
      <c r="B8" t="s">
        <v>14</v>
      </c>
      <c r="C8" s="29">
        <v>6708</v>
      </c>
      <c r="D8" s="29">
        <v>6708</v>
      </c>
      <c r="E8" s="29">
        <v>0</v>
      </c>
      <c r="F8" s="29">
        <v>0</v>
      </c>
      <c r="I8" s="39"/>
      <c r="N8" s="39"/>
    </row>
    <row r="9" spans="1:14" x14ac:dyDescent="0.2">
      <c r="A9" t="s">
        <v>16</v>
      </c>
      <c r="B9" t="s">
        <v>15</v>
      </c>
      <c r="C9" s="29">
        <v>47604392.349999994</v>
      </c>
      <c r="D9" s="29">
        <v>20732964.990000002</v>
      </c>
      <c r="E9" s="29">
        <v>925000</v>
      </c>
      <c r="F9" s="29">
        <v>925000</v>
      </c>
      <c r="H9" s="39"/>
      <c r="N9" s="39"/>
    </row>
    <row r="10" spans="1:14" x14ac:dyDescent="0.2">
      <c r="A10" t="s">
        <v>17</v>
      </c>
      <c r="B10" t="s">
        <v>14</v>
      </c>
      <c r="C10" s="29">
        <v>0</v>
      </c>
      <c r="D10" s="29">
        <v>0</v>
      </c>
      <c r="E10" s="29">
        <v>0</v>
      </c>
      <c r="F10" s="29">
        <v>0</v>
      </c>
      <c r="I10" s="39"/>
      <c r="M10" s="38"/>
      <c r="N10" s="39"/>
    </row>
    <row r="11" spans="1:14" x14ac:dyDescent="0.2">
      <c r="A11" t="s">
        <v>17</v>
      </c>
      <c r="B11" t="s">
        <v>15</v>
      </c>
      <c r="C11" s="29">
        <v>49618.8</v>
      </c>
      <c r="D11" s="29">
        <v>23058</v>
      </c>
      <c r="E11" s="75">
        <v>500</v>
      </c>
      <c r="F11" s="75">
        <v>500</v>
      </c>
      <c r="I11" s="38"/>
      <c r="M11" s="38"/>
      <c r="N11" s="3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D2B6-5BB3-4EA1-85E3-AC4ECDEE6BF6}">
  <dimension ref="A1:F10"/>
  <sheetViews>
    <sheetView workbookViewId="0">
      <selection activeCell="D2" sqref="D2:D10"/>
    </sheetView>
  </sheetViews>
  <sheetFormatPr defaultRowHeight="14.25" x14ac:dyDescent="0.2"/>
  <cols>
    <col min="1" max="2" width="9" style="38"/>
    <col min="3" max="3" width="16.25" style="38" bestFit="1" customWidth="1"/>
    <col min="4" max="6" width="15" style="38" customWidth="1"/>
  </cols>
  <sheetData>
    <row r="1" spans="1:6" x14ac:dyDescent="0.2">
      <c r="A1" s="73" t="s">
        <v>90</v>
      </c>
      <c r="B1" s="73" t="s">
        <v>20</v>
      </c>
      <c r="C1" s="73" t="s">
        <v>18</v>
      </c>
      <c r="D1" s="73" t="s">
        <v>91</v>
      </c>
      <c r="E1" s="73" t="s">
        <v>37</v>
      </c>
      <c r="F1" s="73" t="s">
        <v>92</v>
      </c>
    </row>
    <row r="2" spans="1:6" x14ac:dyDescent="0.2">
      <c r="A2" s="73">
        <v>2026</v>
      </c>
      <c r="B2" s="74">
        <v>1</v>
      </c>
      <c r="C2" s="38">
        <v>592678069.2299999</v>
      </c>
      <c r="D2" s="38">
        <v>590541885.75999999</v>
      </c>
      <c r="E2" s="73">
        <v>146264198.35999998</v>
      </c>
      <c r="F2" s="38">
        <v>92599757.909999996</v>
      </c>
    </row>
    <row r="3" spans="1:6" x14ac:dyDescent="0.2">
      <c r="A3" s="73">
        <v>2026</v>
      </c>
      <c r="B3" s="74">
        <v>2</v>
      </c>
      <c r="C3" s="38">
        <v>336084183.27000004</v>
      </c>
      <c r="D3" s="38">
        <v>334618006.94</v>
      </c>
      <c r="E3" s="73">
        <v>221205229.84999999</v>
      </c>
      <c r="F3" s="38">
        <v>71387937.879999995</v>
      </c>
    </row>
    <row r="4" spans="1:6" x14ac:dyDescent="0.2">
      <c r="A4" s="73">
        <v>2026</v>
      </c>
      <c r="B4" s="74">
        <v>3</v>
      </c>
      <c r="C4" s="38">
        <v>263150003.16000003</v>
      </c>
      <c r="D4" s="38">
        <v>246169262.66999999</v>
      </c>
      <c r="E4" s="73">
        <v>144533574.16</v>
      </c>
      <c r="F4" s="38">
        <v>26884244.010000002</v>
      </c>
    </row>
    <row r="5" spans="1:6" x14ac:dyDescent="0.2">
      <c r="A5" s="73">
        <v>2026</v>
      </c>
      <c r="B5" s="74">
        <v>4</v>
      </c>
      <c r="C5" s="38">
        <v>887626878.05999994</v>
      </c>
      <c r="D5" s="38">
        <v>880837703.51999986</v>
      </c>
      <c r="E5" s="73">
        <v>209788306.69999999</v>
      </c>
      <c r="F5" s="38">
        <v>61828675.57</v>
      </c>
    </row>
    <row r="6" spans="1:6" x14ac:dyDescent="0.2">
      <c r="A6" s="73">
        <v>2026</v>
      </c>
      <c r="B6" s="74">
        <v>5</v>
      </c>
      <c r="C6" s="38">
        <v>289576223.60000002</v>
      </c>
      <c r="D6" s="38">
        <v>287256842.54000002</v>
      </c>
      <c r="E6" s="73">
        <v>202868638.87</v>
      </c>
      <c r="F6" s="38">
        <v>58207513.370000005</v>
      </c>
    </row>
    <row r="7" spans="1:6" x14ac:dyDescent="0.2">
      <c r="A7" s="73">
        <v>2026</v>
      </c>
      <c r="B7" s="74">
        <v>6</v>
      </c>
      <c r="C7" s="38">
        <v>414426959.60000002</v>
      </c>
      <c r="D7" s="38">
        <v>393044356.19999999</v>
      </c>
      <c r="E7" s="73">
        <v>635160586.70000005</v>
      </c>
      <c r="F7" s="38">
        <v>92328712.650000006</v>
      </c>
    </row>
    <row r="8" spans="1:6" x14ac:dyDescent="0.2">
      <c r="A8" s="73">
        <v>2026</v>
      </c>
      <c r="B8" s="74">
        <v>7</v>
      </c>
      <c r="C8" s="38">
        <v>413947236.29999995</v>
      </c>
      <c r="D8" s="38">
        <v>368036099.56999999</v>
      </c>
      <c r="E8" s="38">
        <v>253747924.07999998</v>
      </c>
      <c r="F8" s="38">
        <v>28912664.23</v>
      </c>
    </row>
    <row r="9" spans="1:6" x14ac:dyDescent="0.2">
      <c r="A9" s="73">
        <v>2026</v>
      </c>
      <c r="B9" s="38">
        <v>8</v>
      </c>
      <c r="C9" s="38">
        <v>325898902.62</v>
      </c>
      <c r="D9" s="38">
        <v>215981347.46999997</v>
      </c>
      <c r="E9" s="38">
        <v>263414874.68000001</v>
      </c>
      <c r="F9" s="38">
        <v>8521155.5999999996</v>
      </c>
    </row>
    <row r="10" spans="1:6" x14ac:dyDescent="0.2">
      <c r="A10" s="73">
        <v>2026</v>
      </c>
      <c r="B10" s="74">
        <v>9</v>
      </c>
      <c r="C10" s="38">
        <v>375302024.04000008</v>
      </c>
      <c r="D10" s="38">
        <v>148444746.87</v>
      </c>
      <c r="E10" s="38">
        <v>250193334.77000001</v>
      </c>
      <c r="F10" s="38">
        <v>12487497.68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B560-F478-400C-9AD4-A5E54A0FDA7B}">
  <dimension ref="A1:T18"/>
  <sheetViews>
    <sheetView workbookViewId="0">
      <selection activeCell="C15" sqref="C15"/>
    </sheetView>
  </sheetViews>
  <sheetFormatPr defaultRowHeight="14.25" x14ac:dyDescent="0.2"/>
  <cols>
    <col min="3" max="3" width="18.875" bestFit="1" customWidth="1"/>
    <col min="5" max="5" width="10.875" bestFit="1" customWidth="1"/>
    <col min="9" max="9" width="8.875" style="60"/>
    <col min="18" max="18" width="8.875" style="61"/>
    <col min="19" max="20" width="8.875" style="56"/>
  </cols>
  <sheetData>
    <row r="1" spans="1:3" x14ac:dyDescent="0.2">
      <c r="A1" s="56" t="s">
        <v>0</v>
      </c>
      <c r="B1" s="56" t="s">
        <v>20</v>
      </c>
      <c r="C1" s="56" t="s">
        <v>93</v>
      </c>
    </row>
    <row r="2" spans="1:3" x14ac:dyDescent="0.2">
      <c r="A2" s="56">
        <v>2026</v>
      </c>
      <c r="B2" s="56">
        <v>1</v>
      </c>
      <c r="C2" s="29">
        <v>523714848.08333331</v>
      </c>
    </row>
    <row r="3" spans="1:3" x14ac:dyDescent="0.2">
      <c r="A3" s="56">
        <v>2026</v>
      </c>
      <c r="B3" s="56">
        <v>2</v>
      </c>
      <c r="C3" s="29">
        <v>523714848.08333331</v>
      </c>
    </row>
    <row r="4" spans="1:3" x14ac:dyDescent="0.2">
      <c r="A4" s="56">
        <v>2026</v>
      </c>
      <c r="B4" s="56">
        <v>3</v>
      </c>
      <c r="C4" s="29">
        <v>523714848.08333331</v>
      </c>
    </row>
    <row r="5" spans="1:3" x14ac:dyDescent="0.2">
      <c r="A5" s="56">
        <v>2026</v>
      </c>
      <c r="B5" s="56">
        <v>4</v>
      </c>
      <c r="C5" s="29">
        <v>523714848.08333331</v>
      </c>
    </row>
    <row r="6" spans="1:3" x14ac:dyDescent="0.2">
      <c r="A6" s="56">
        <v>2026</v>
      </c>
      <c r="B6" s="56">
        <v>5</v>
      </c>
      <c r="C6" s="29">
        <v>523714848.08333331</v>
      </c>
    </row>
    <row r="7" spans="1:3" x14ac:dyDescent="0.2">
      <c r="A7" s="56">
        <v>2026</v>
      </c>
      <c r="B7" s="56">
        <v>6</v>
      </c>
      <c r="C7" s="29">
        <v>523714848.08333331</v>
      </c>
    </row>
    <row r="8" spans="1:3" x14ac:dyDescent="0.2">
      <c r="A8" s="56">
        <v>2026</v>
      </c>
      <c r="B8" s="56">
        <v>7</v>
      </c>
      <c r="C8" s="29">
        <v>523714848.08333331</v>
      </c>
    </row>
    <row r="9" spans="1:3" x14ac:dyDescent="0.2">
      <c r="A9" s="56">
        <v>2026</v>
      </c>
      <c r="B9" s="56">
        <v>8</v>
      </c>
      <c r="C9" s="29">
        <v>523714848.08333331</v>
      </c>
    </row>
    <row r="10" spans="1:3" x14ac:dyDescent="0.2">
      <c r="A10" s="56">
        <v>2026</v>
      </c>
      <c r="B10" s="56">
        <v>9</v>
      </c>
      <c r="C10" s="29">
        <v>523714848.08333331</v>
      </c>
    </row>
    <row r="11" spans="1:3" x14ac:dyDescent="0.2">
      <c r="A11" s="56">
        <v>2026</v>
      </c>
      <c r="B11" s="56">
        <v>10</v>
      </c>
      <c r="C11" s="29">
        <v>523714848.08333331</v>
      </c>
    </row>
    <row r="12" spans="1:3" x14ac:dyDescent="0.2">
      <c r="A12" s="56">
        <v>2026</v>
      </c>
      <c r="B12" s="56">
        <v>11</v>
      </c>
      <c r="C12" s="29">
        <v>523714848.08333331</v>
      </c>
    </row>
    <row r="13" spans="1:3" x14ac:dyDescent="0.2">
      <c r="A13" s="56">
        <v>2026</v>
      </c>
      <c r="B13" s="56">
        <v>12</v>
      </c>
      <c r="C13" s="29">
        <v>523714848.08333331</v>
      </c>
    </row>
    <row r="14" spans="1:3" x14ac:dyDescent="0.2">
      <c r="C14" s="35">
        <f>SUM(C2:C10)</f>
        <v>4713433632.75</v>
      </c>
    </row>
    <row r="15" spans="1:3" x14ac:dyDescent="0.2">
      <c r="C15" s="78">
        <v>3898690480</v>
      </c>
    </row>
    <row r="16" spans="1:3" x14ac:dyDescent="0.2">
      <c r="C16" s="39">
        <f>C15/C14</f>
        <v>0.82714445216986177</v>
      </c>
    </row>
    <row r="17" spans="3:3" x14ac:dyDescent="0.2">
      <c r="C17" s="35"/>
    </row>
    <row r="18" spans="3:3" x14ac:dyDescent="0.2">
      <c r="C18" s="3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2491-F9D1-4136-AE46-82E4CEAFB377}">
  <dimension ref="A1:F13"/>
  <sheetViews>
    <sheetView workbookViewId="0">
      <selection activeCell="D2" sqref="D2"/>
    </sheetView>
  </sheetViews>
  <sheetFormatPr defaultRowHeight="14.25" x14ac:dyDescent="0.2"/>
  <cols>
    <col min="3" max="3" width="15" customWidth="1"/>
    <col min="4" max="4" width="10.875" bestFit="1" customWidth="1"/>
  </cols>
  <sheetData>
    <row r="1" spans="1:6" x14ac:dyDescent="0.2">
      <c r="A1" s="6" t="s">
        <v>0</v>
      </c>
      <c r="B1" s="6" t="s">
        <v>20</v>
      </c>
      <c r="C1" s="6" t="s">
        <v>94</v>
      </c>
      <c r="F1">
        <v>6285000000</v>
      </c>
    </row>
    <row r="2" spans="1:6" x14ac:dyDescent="0.2">
      <c r="A2" s="56">
        <v>2026</v>
      </c>
      <c r="B2" s="56">
        <v>1</v>
      </c>
      <c r="C2" s="29">
        <f>$F$1/12</f>
        <v>523750000</v>
      </c>
    </row>
    <row r="3" spans="1:6" x14ac:dyDescent="0.2">
      <c r="A3" s="56">
        <v>2026</v>
      </c>
      <c r="B3" s="56">
        <v>2</v>
      </c>
      <c r="C3" s="29">
        <f t="shared" ref="C3:C13" si="0">$F$1/12</f>
        <v>523750000</v>
      </c>
    </row>
    <row r="4" spans="1:6" x14ac:dyDescent="0.2">
      <c r="A4" s="56">
        <v>2026</v>
      </c>
      <c r="B4" s="56">
        <v>3</v>
      </c>
      <c r="C4" s="29">
        <f t="shared" si="0"/>
        <v>523750000</v>
      </c>
    </row>
    <row r="5" spans="1:6" x14ac:dyDescent="0.2">
      <c r="A5" s="56">
        <v>2026</v>
      </c>
      <c r="B5" s="56">
        <v>4</v>
      </c>
      <c r="C5" s="29">
        <f t="shared" si="0"/>
        <v>523750000</v>
      </c>
    </row>
    <row r="6" spans="1:6" x14ac:dyDescent="0.2">
      <c r="A6" s="56">
        <v>2026</v>
      </c>
      <c r="B6" s="56">
        <v>5</v>
      </c>
      <c r="C6" s="29">
        <f t="shared" si="0"/>
        <v>523750000</v>
      </c>
    </row>
    <row r="7" spans="1:6" x14ac:dyDescent="0.2">
      <c r="A7" s="56">
        <v>2026</v>
      </c>
      <c r="B7" s="56">
        <v>6</v>
      </c>
      <c r="C7" s="29">
        <f t="shared" si="0"/>
        <v>523750000</v>
      </c>
    </row>
    <row r="8" spans="1:6" x14ac:dyDescent="0.2">
      <c r="A8" s="56">
        <v>2026</v>
      </c>
      <c r="B8" s="56">
        <v>7</v>
      </c>
      <c r="C8" s="29">
        <f t="shared" si="0"/>
        <v>523750000</v>
      </c>
    </row>
    <row r="9" spans="1:6" x14ac:dyDescent="0.2">
      <c r="A9" s="56">
        <v>2026</v>
      </c>
      <c r="B9" s="56">
        <v>8</v>
      </c>
      <c r="C9" s="29">
        <f t="shared" si="0"/>
        <v>523750000</v>
      </c>
    </row>
    <row r="10" spans="1:6" x14ac:dyDescent="0.2">
      <c r="A10" s="56">
        <v>2026</v>
      </c>
      <c r="B10" s="56">
        <v>9</v>
      </c>
      <c r="C10" s="29">
        <f t="shared" si="0"/>
        <v>523750000</v>
      </c>
    </row>
    <row r="11" spans="1:6" x14ac:dyDescent="0.2">
      <c r="A11" s="56">
        <v>2026</v>
      </c>
      <c r="B11" s="56">
        <v>10</v>
      </c>
      <c r="C11" s="29">
        <f t="shared" si="0"/>
        <v>523750000</v>
      </c>
    </row>
    <row r="12" spans="1:6" x14ac:dyDescent="0.2">
      <c r="A12" s="56">
        <v>2026</v>
      </c>
      <c r="B12" s="56">
        <v>11</v>
      </c>
      <c r="C12" s="29">
        <f t="shared" si="0"/>
        <v>523750000</v>
      </c>
    </row>
    <row r="13" spans="1:6" x14ac:dyDescent="0.2">
      <c r="A13" s="56">
        <v>2026</v>
      </c>
      <c r="B13" s="56">
        <v>12</v>
      </c>
      <c r="C13" s="29">
        <f t="shared" si="0"/>
        <v>523750000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10D5-7CE2-45A6-B266-A01A9D8D442E}">
  <dimension ref="A1:C13"/>
  <sheetViews>
    <sheetView workbookViewId="0">
      <selection activeCell="C2" sqref="C2:C9"/>
    </sheetView>
  </sheetViews>
  <sheetFormatPr defaultRowHeight="14.25" x14ac:dyDescent="0.2"/>
  <cols>
    <col min="3" max="3" width="12.875" bestFit="1" customWidth="1"/>
  </cols>
  <sheetData>
    <row r="1" spans="1:3" x14ac:dyDescent="0.2">
      <c r="A1" s="56" t="s">
        <v>0</v>
      </c>
      <c r="B1" s="56" t="s">
        <v>20</v>
      </c>
      <c r="C1" s="56" t="s">
        <v>95</v>
      </c>
    </row>
    <row r="2" spans="1:3" ht="15" x14ac:dyDescent="0.2">
      <c r="A2" s="56">
        <v>2026</v>
      </c>
      <c r="B2" s="56">
        <v>1</v>
      </c>
      <c r="C2" s="62">
        <v>317617005</v>
      </c>
    </row>
    <row r="3" spans="1:3" ht="15" x14ac:dyDescent="0.2">
      <c r="A3" s="56">
        <v>2026</v>
      </c>
      <c r="B3" s="56">
        <v>2</v>
      </c>
      <c r="C3" s="62">
        <v>283642662</v>
      </c>
    </row>
    <row r="4" spans="1:3" ht="15" x14ac:dyDescent="0.2">
      <c r="A4" s="56">
        <v>2026</v>
      </c>
      <c r="B4" s="56">
        <v>3</v>
      </c>
      <c r="C4" s="62">
        <v>275555760</v>
      </c>
    </row>
    <row r="5" spans="1:3" ht="15" x14ac:dyDescent="0.2">
      <c r="A5" s="56">
        <v>2026</v>
      </c>
      <c r="B5" s="56">
        <v>4</v>
      </c>
      <c r="C5" s="62">
        <v>685041060</v>
      </c>
    </row>
    <row r="6" spans="1:3" ht="15" x14ac:dyDescent="0.2">
      <c r="A6" s="56">
        <v>2026</v>
      </c>
      <c r="B6" s="56">
        <v>5</v>
      </c>
      <c r="C6" s="62">
        <v>362823293</v>
      </c>
    </row>
    <row r="7" spans="1:3" ht="15" x14ac:dyDescent="0.2">
      <c r="A7" s="56">
        <v>2026</v>
      </c>
      <c r="B7" s="56">
        <v>6</v>
      </c>
      <c r="C7" s="62">
        <v>361707043</v>
      </c>
    </row>
    <row r="8" spans="1:3" ht="15" x14ac:dyDescent="0.2">
      <c r="A8" s="56">
        <v>2026</v>
      </c>
      <c r="B8" s="56">
        <v>7</v>
      </c>
      <c r="C8" s="62">
        <v>364793034</v>
      </c>
    </row>
    <row r="9" spans="1:3" ht="15" x14ac:dyDescent="0.2">
      <c r="A9" s="56">
        <v>2026</v>
      </c>
      <c r="B9" s="56">
        <v>8</v>
      </c>
      <c r="C9" s="62">
        <v>370437892</v>
      </c>
    </row>
    <row r="10" spans="1:3" ht="15" x14ac:dyDescent="0.2">
      <c r="A10" s="56">
        <v>2026</v>
      </c>
      <c r="B10" s="56">
        <v>9</v>
      </c>
      <c r="C10" s="62">
        <v>363751458</v>
      </c>
    </row>
    <row r="11" spans="1:3" ht="15" x14ac:dyDescent="0.2">
      <c r="A11" s="56">
        <v>2026</v>
      </c>
      <c r="B11" s="56">
        <v>10</v>
      </c>
      <c r="C11" s="62">
        <v>378036157</v>
      </c>
    </row>
    <row r="12" spans="1:3" ht="15" x14ac:dyDescent="0.2">
      <c r="A12" s="56">
        <v>2026</v>
      </c>
      <c r="B12" s="56">
        <v>11</v>
      </c>
      <c r="C12" s="62">
        <v>858826917</v>
      </c>
    </row>
    <row r="13" spans="1:3" ht="15" x14ac:dyDescent="0.2">
      <c r="A13" s="56">
        <v>2026</v>
      </c>
      <c r="B13" s="56">
        <v>12</v>
      </c>
      <c r="C13" s="62">
        <v>422362920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4DB9-A137-49DD-A183-798AABB77641}">
  <dimension ref="A3:B11"/>
  <sheetViews>
    <sheetView rightToLeft="1" workbookViewId="0">
      <selection activeCell="B4" sqref="B4:B9"/>
    </sheetView>
  </sheetViews>
  <sheetFormatPr defaultRowHeight="14.25" x14ac:dyDescent="0.2"/>
  <cols>
    <col min="1" max="1" width="21" bestFit="1" customWidth="1"/>
    <col min="2" max="2" width="16.25" style="38" bestFit="1" customWidth="1"/>
  </cols>
  <sheetData>
    <row r="3" spans="1:2" x14ac:dyDescent="0.2">
      <c r="A3" s="76" t="s">
        <v>131</v>
      </c>
      <c r="B3" s="38" t="s">
        <v>134</v>
      </c>
    </row>
    <row r="4" spans="1:2" x14ac:dyDescent="0.2">
      <c r="A4" s="77" t="s">
        <v>109</v>
      </c>
      <c r="B4" s="38">
        <v>465602145.60000002</v>
      </c>
    </row>
    <row r="5" spans="1:2" x14ac:dyDescent="0.2">
      <c r="A5" s="77" t="s">
        <v>123</v>
      </c>
      <c r="B5" s="38">
        <v>1239480341.3099997</v>
      </c>
    </row>
    <row r="6" spans="1:2" x14ac:dyDescent="0.2">
      <c r="A6" s="77" t="s">
        <v>111</v>
      </c>
      <c r="B6" s="38">
        <v>1047345094.3199999</v>
      </c>
    </row>
    <row r="7" spans="1:2" x14ac:dyDescent="0.2">
      <c r="A7" s="77" t="s">
        <v>122</v>
      </c>
      <c r="B7" s="38">
        <v>918343459.12000012</v>
      </c>
    </row>
    <row r="8" spans="1:2" x14ac:dyDescent="0.2">
      <c r="A8" s="77" t="s">
        <v>121</v>
      </c>
      <c r="B8" s="38">
        <v>140952834.82999998</v>
      </c>
    </row>
    <row r="9" spans="1:2" x14ac:dyDescent="0.2">
      <c r="A9" s="77" t="s">
        <v>124</v>
      </c>
      <c r="B9" s="38">
        <v>86966604.700000003</v>
      </c>
    </row>
    <row r="10" spans="1:2" x14ac:dyDescent="0.2">
      <c r="A10" s="77" t="s">
        <v>132</v>
      </c>
    </row>
    <row r="11" spans="1:2" x14ac:dyDescent="0.2">
      <c r="A11" s="77" t="s">
        <v>133</v>
      </c>
      <c r="B11" s="38">
        <v>3898690479.8799992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2B86-80EB-4CEA-A87D-346B9D4EC583}">
  <sheetPr filterMode="1"/>
  <dimension ref="A1:E199"/>
  <sheetViews>
    <sheetView tabSelected="1" topLeftCell="A90" workbookViewId="0">
      <selection activeCell="E1" sqref="E1:E1048576"/>
    </sheetView>
  </sheetViews>
  <sheetFormatPr defaultRowHeight="14.25" x14ac:dyDescent="0.2"/>
  <cols>
    <col min="1" max="1" width="10.5" customWidth="1"/>
    <col min="2" max="2" width="10.875" customWidth="1"/>
    <col min="3" max="3" width="23.5" bestFit="1" customWidth="1"/>
    <col min="4" max="4" width="56.125" bestFit="1" customWidth="1"/>
    <col min="5" max="5" width="14.75" style="38" bestFit="1" customWidth="1"/>
  </cols>
  <sheetData>
    <row r="1" spans="1:5" x14ac:dyDescent="0.2">
      <c r="A1" t="s">
        <v>0</v>
      </c>
      <c r="B1" t="s">
        <v>20</v>
      </c>
      <c r="C1" t="s">
        <v>2</v>
      </c>
      <c r="D1" t="s">
        <v>96</v>
      </c>
      <c r="E1" s="38" t="s">
        <v>97</v>
      </c>
    </row>
    <row r="2" spans="1:5" ht="17.25" customHeight="1" x14ac:dyDescent="0.2">
      <c r="A2">
        <v>2026</v>
      </c>
      <c r="B2">
        <v>1</v>
      </c>
      <c r="C2" t="s">
        <v>121</v>
      </c>
      <c r="D2" s="57" t="s">
        <v>98</v>
      </c>
      <c r="E2" s="38">
        <v>22331040.419999998</v>
      </c>
    </row>
    <row r="3" spans="1:5" x14ac:dyDescent="0.2">
      <c r="A3">
        <v>2026</v>
      </c>
      <c r="B3">
        <v>1</v>
      </c>
      <c r="C3" t="s">
        <v>122</v>
      </c>
      <c r="D3" s="57" t="s">
        <v>99</v>
      </c>
      <c r="E3" s="38">
        <v>110700</v>
      </c>
    </row>
    <row r="4" spans="1:5" x14ac:dyDescent="0.2">
      <c r="A4">
        <v>2026</v>
      </c>
      <c r="B4">
        <v>1</v>
      </c>
      <c r="C4" t="s">
        <v>122</v>
      </c>
      <c r="D4" s="57" t="s">
        <v>100</v>
      </c>
      <c r="E4" s="38">
        <v>26000</v>
      </c>
    </row>
    <row r="5" spans="1:5" x14ac:dyDescent="0.2">
      <c r="A5">
        <v>2026</v>
      </c>
      <c r="B5">
        <v>1</v>
      </c>
      <c r="C5" t="s">
        <v>122</v>
      </c>
      <c r="D5" s="57" t="s">
        <v>101</v>
      </c>
      <c r="E5" s="38">
        <v>3237945.75</v>
      </c>
    </row>
    <row r="6" spans="1:5" x14ac:dyDescent="0.2">
      <c r="A6">
        <v>2026</v>
      </c>
      <c r="B6">
        <v>1</v>
      </c>
      <c r="C6" t="s">
        <v>122</v>
      </c>
      <c r="D6" s="57" t="s">
        <v>102</v>
      </c>
      <c r="E6" s="38">
        <v>3009992.24</v>
      </c>
    </row>
    <row r="7" spans="1:5" x14ac:dyDescent="0.2">
      <c r="A7">
        <v>2026</v>
      </c>
      <c r="B7">
        <v>1</v>
      </c>
      <c r="C7" t="s">
        <v>122</v>
      </c>
      <c r="D7" s="57" t="s">
        <v>103</v>
      </c>
      <c r="E7" s="38">
        <v>13075.49</v>
      </c>
    </row>
    <row r="8" spans="1:5" x14ac:dyDescent="0.2">
      <c r="A8">
        <v>2026</v>
      </c>
      <c r="B8">
        <v>1</v>
      </c>
      <c r="C8" t="s">
        <v>122</v>
      </c>
      <c r="D8" s="57" t="s">
        <v>104</v>
      </c>
      <c r="E8" s="38">
        <v>567489.57999999996</v>
      </c>
    </row>
    <row r="9" spans="1:5" x14ac:dyDescent="0.2">
      <c r="A9">
        <v>2026</v>
      </c>
      <c r="B9">
        <v>1</v>
      </c>
      <c r="C9" t="s">
        <v>122</v>
      </c>
      <c r="D9" s="57" t="s">
        <v>105</v>
      </c>
      <c r="E9" s="38">
        <v>29609804.729999997</v>
      </c>
    </row>
    <row r="10" spans="1:5" x14ac:dyDescent="0.2">
      <c r="A10">
        <v>2026</v>
      </c>
      <c r="B10">
        <v>1</v>
      </c>
      <c r="C10" t="s">
        <v>122</v>
      </c>
      <c r="D10" s="57" t="s">
        <v>106</v>
      </c>
      <c r="E10" s="38">
        <v>0</v>
      </c>
    </row>
    <row r="11" spans="1:5" x14ac:dyDescent="0.2">
      <c r="A11">
        <v>2026</v>
      </c>
      <c r="B11">
        <v>1</v>
      </c>
      <c r="C11" t="s">
        <v>122</v>
      </c>
      <c r="D11" s="57" t="s">
        <v>107</v>
      </c>
      <c r="E11" s="38">
        <v>27947453.700000003</v>
      </c>
    </row>
    <row r="12" spans="1:5" x14ac:dyDescent="0.2">
      <c r="A12">
        <v>2026</v>
      </c>
      <c r="B12">
        <v>1</v>
      </c>
      <c r="C12" t="s">
        <v>122</v>
      </c>
      <c r="D12" s="57" t="s">
        <v>108</v>
      </c>
      <c r="E12" s="38">
        <v>0</v>
      </c>
    </row>
    <row r="13" spans="1:5" x14ac:dyDescent="0.2">
      <c r="A13">
        <v>2026</v>
      </c>
      <c r="B13">
        <v>1</v>
      </c>
      <c r="C13" t="s">
        <v>109</v>
      </c>
      <c r="D13" s="57" t="s">
        <v>109</v>
      </c>
      <c r="E13" s="38">
        <v>228922768.88</v>
      </c>
    </row>
    <row r="14" spans="1:5" x14ac:dyDescent="0.2">
      <c r="A14">
        <v>2026</v>
      </c>
      <c r="B14">
        <v>1</v>
      </c>
      <c r="C14" t="s">
        <v>122</v>
      </c>
      <c r="D14" s="57" t="s">
        <v>110</v>
      </c>
      <c r="E14" s="38">
        <v>1072764.18</v>
      </c>
    </row>
    <row r="15" spans="1:5" x14ac:dyDescent="0.2">
      <c r="A15">
        <v>2026</v>
      </c>
      <c r="B15">
        <v>1</v>
      </c>
      <c r="C15" t="s">
        <v>111</v>
      </c>
      <c r="D15" s="57" t="s">
        <v>111</v>
      </c>
      <c r="E15" s="38">
        <v>93668318.640000001</v>
      </c>
    </row>
    <row r="16" spans="1:5" x14ac:dyDescent="0.2">
      <c r="A16">
        <v>2026</v>
      </c>
      <c r="B16">
        <v>1</v>
      </c>
      <c r="C16" t="s">
        <v>122</v>
      </c>
      <c r="D16" s="57" t="s">
        <v>112</v>
      </c>
      <c r="E16" s="38">
        <v>20032253.199999999</v>
      </c>
    </row>
    <row r="17" spans="1:5" x14ac:dyDescent="0.2">
      <c r="A17">
        <v>2026</v>
      </c>
      <c r="B17">
        <v>1</v>
      </c>
      <c r="C17" t="s">
        <v>122</v>
      </c>
      <c r="D17" s="57" t="s">
        <v>113</v>
      </c>
      <c r="E17" s="38">
        <v>17631305.559999999</v>
      </c>
    </row>
    <row r="18" spans="1:5" x14ac:dyDescent="0.2">
      <c r="A18">
        <v>2026</v>
      </c>
      <c r="B18">
        <v>1</v>
      </c>
      <c r="C18" t="s">
        <v>123</v>
      </c>
      <c r="D18" s="57" t="s">
        <v>114</v>
      </c>
      <c r="E18" s="38">
        <v>123542457.16</v>
      </c>
    </row>
    <row r="19" spans="1:5" x14ac:dyDescent="0.2">
      <c r="A19">
        <v>2026</v>
      </c>
      <c r="B19">
        <v>1</v>
      </c>
      <c r="C19" t="s">
        <v>123</v>
      </c>
      <c r="D19" s="57" t="s">
        <v>42</v>
      </c>
      <c r="E19" s="38">
        <v>106288.9</v>
      </c>
    </row>
    <row r="20" spans="1:5" x14ac:dyDescent="0.2">
      <c r="A20">
        <v>2026</v>
      </c>
      <c r="B20">
        <v>1</v>
      </c>
      <c r="C20" t="s">
        <v>122</v>
      </c>
      <c r="D20" s="57" t="s">
        <v>115</v>
      </c>
      <c r="E20" s="38">
        <v>10005509.16</v>
      </c>
    </row>
    <row r="21" spans="1:5" x14ac:dyDescent="0.2">
      <c r="A21">
        <v>2026</v>
      </c>
      <c r="B21">
        <v>1</v>
      </c>
      <c r="C21" t="s">
        <v>122</v>
      </c>
      <c r="D21" s="57" t="s">
        <v>116</v>
      </c>
      <c r="E21" s="38">
        <v>739406.2</v>
      </c>
    </row>
    <row r="22" spans="1:5" x14ac:dyDescent="0.2">
      <c r="A22">
        <v>2026</v>
      </c>
      <c r="B22">
        <v>1</v>
      </c>
      <c r="C22" t="s">
        <v>124</v>
      </c>
      <c r="D22" s="57" t="s">
        <v>117</v>
      </c>
      <c r="E22" s="38">
        <v>1591995.41</v>
      </c>
    </row>
    <row r="23" spans="1:5" x14ac:dyDescent="0.2">
      <c r="A23">
        <v>2026</v>
      </c>
      <c r="B23">
        <v>1</v>
      </c>
      <c r="C23" t="s">
        <v>124</v>
      </c>
      <c r="D23" s="57" t="s">
        <v>118</v>
      </c>
      <c r="E23" s="38">
        <v>8511500.0300000012</v>
      </c>
    </row>
    <row r="24" spans="1:5" x14ac:dyDescent="0.2">
      <c r="A24">
        <v>2026</v>
      </c>
      <c r="B24">
        <v>2</v>
      </c>
      <c r="C24" t="s">
        <v>121</v>
      </c>
      <c r="D24" s="57" t="s">
        <v>98</v>
      </c>
      <c r="E24" s="38">
        <v>24270021.620000001</v>
      </c>
    </row>
    <row r="25" spans="1:5" x14ac:dyDescent="0.2">
      <c r="A25">
        <v>2026</v>
      </c>
      <c r="B25">
        <v>2</v>
      </c>
      <c r="C25" t="s">
        <v>122</v>
      </c>
      <c r="D25" s="57" t="s">
        <v>99</v>
      </c>
      <c r="E25" s="38">
        <v>149400</v>
      </c>
    </row>
    <row r="26" spans="1:5" x14ac:dyDescent="0.2">
      <c r="A26">
        <v>2026</v>
      </c>
      <c r="B26">
        <v>2</v>
      </c>
      <c r="C26" t="s">
        <v>122</v>
      </c>
      <c r="D26" s="57" t="s">
        <v>100</v>
      </c>
      <c r="E26" s="38">
        <v>22000</v>
      </c>
    </row>
    <row r="27" spans="1:5" x14ac:dyDescent="0.2">
      <c r="A27">
        <v>2026</v>
      </c>
      <c r="B27">
        <v>2</v>
      </c>
      <c r="C27" t="s">
        <v>122</v>
      </c>
      <c r="D27" s="57" t="s">
        <v>101</v>
      </c>
      <c r="E27" s="38">
        <v>2457009.92</v>
      </c>
    </row>
    <row r="28" spans="1:5" x14ac:dyDescent="0.2">
      <c r="A28">
        <v>2026</v>
      </c>
      <c r="B28">
        <v>2</v>
      </c>
      <c r="C28" t="s">
        <v>122</v>
      </c>
      <c r="D28" s="57" t="s">
        <v>102</v>
      </c>
      <c r="E28" s="38">
        <v>2532321.2799999998</v>
      </c>
    </row>
    <row r="29" spans="1:5" x14ac:dyDescent="0.2">
      <c r="A29">
        <v>2026</v>
      </c>
      <c r="B29">
        <v>2</v>
      </c>
      <c r="C29" t="s">
        <v>122</v>
      </c>
      <c r="D29" s="57" t="s">
        <v>103</v>
      </c>
      <c r="E29" s="38">
        <v>244946.04</v>
      </c>
    </row>
    <row r="30" spans="1:5" x14ac:dyDescent="0.2">
      <c r="A30">
        <v>2026</v>
      </c>
      <c r="B30">
        <v>2</v>
      </c>
      <c r="C30" t="s">
        <v>122</v>
      </c>
      <c r="D30" s="57" t="s">
        <v>104</v>
      </c>
      <c r="E30" s="38">
        <v>320162.39</v>
      </c>
    </row>
    <row r="31" spans="1:5" x14ac:dyDescent="0.2">
      <c r="A31">
        <v>2026</v>
      </c>
      <c r="B31">
        <v>2</v>
      </c>
      <c r="C31" t="s">
        <v>122</v>
      </c>
      <c r="D31" s="57" t="s">
        <v>105</v>
      </c>
      <c r="E31" s="38">
        <v>30007041.18</v>
      </c>
    </row>
    <row r="32" spans="1:5" x14ac:dyDescent="0.2">
      <c r="A32">
        <v>2026</v>
      </c>
      <c r="B32">
        <v>2</v>
      </c>
      <c r="C32" t="s">
        <v>122</v>
      </c>
      <c r="D32" s="57" t="s">
        <v>106</v>
      </c>
      <c r="E32" s="38">
        <v>0</v>
      </c>
    </row>
    <row r="33" spans="1:5" x14ac:dyDescent="0.2">
      <c r="A33">
        <v>2026</v>
      </c>
      <c r="B33">
        <v>2</v>
      </c>
      <c r="C33" t="s">
        <v>122</v>
      </c>
      <c r="D33" s="57" t="s">
        <v>107</v>
      </c>
      <c r="E33" s="38">
        <v>23098071.170000002</v>
      </c>
    </row>
    <row r="34" spans="1:5" x14ac:dyDescent="0.2">
      <c r="A34">
        <v>2026</v>
      </c>
      <c r="B34">
        <v>2</v>
      </c>
      <c r="C34" t="s">
        <v>122</v>
      </c>
      <c r="D34" s="57" t="s">
        <v>108</v>
      </c>
      <c r="E34" s="38">
        <v>0</v>
      </c>
    </row>
    <row r="35" spans="1:5" x14ac:dyDescent="0.2">
      <c r="A35">
        <v>2026</v>
      </c>
      <c r="B35">
        <v>2</v>
      </c>
      <c r="C35" t="s">
        <v>109</v>
      </c>
      <c r="D35" s="57" t="s">
        <v>109</v>
      </c>
      <c r="E35" s="38">
        <v>2227941.4299999997</v>
      </c>
    </row>
    <row r="36" spans="1:5" x14ac:dyDescent="0.2">
      <c r="A36">
        <v>2026</v>
      </c>
      <c r="B36">
        <v>2</v>
      </c>
      <c r="C36" t="s">
        <v>122</v>
      </c>
      <c r="D36" s="57" t="s">
        <v>110</v>
      </c>
      <c r="E36" s="38">
        <v>754028.35</v>
      </c>
    </row>
    <row r="37" spans="1:5" x14ac:dyDescent="0.2">
      <c r="A37">
        <v>2026</v>
      </c>
      <c r="B37">
        <v>2</v>
      </c>
      <c r="C37" t="s">
        <v>111</v>
      </c>
      <c r="D37" s="57" t="s">
        <v>111</v>
      </c>
      <c r="E37" s="38">
        <v>111627840.53999999</v>
      </c>
    </row>
    <row r="38" spans="1:5" x14ac:dyDescent="0.2">
      <c r="A38">
        <v>2026</v>
      </c>
      <c r="B38">
        <v>2</v>
      </c>
      <c r="C38" t="s">
        <v>122</v>
      </c>
      <c r="D38" s="57" t="s">
        <v>112</v>
      </c>
      <c r="E38" s="38">
        <v>15924107.309999999</v>
      </c>
    </row>
    <row r="39" spans="1:5" x14ac:dyDescent="0.2">
      <c r="A39">
        <v>2026</v>
      </c>
      <c r="B39">
        <v>2</v>
      </c>
      <c r="C39" t="s">
        <v>122</v>
      </c>
      <c r="D39" s="57" t="s">
        <v>113</v>
      </c>
      <c r="E39" s="38">
        <v>7707285.9500000002</v>
      </c>
    </row>
    <row r="40" spans="1:5" x14ac:dyDescent="0.2">
      <c r="A40">
        <v>2026</v>
      </c>
      <c r="B40">
        <v>2</v>
      </c>
      <c r="C40" t="s">
        <v>123</v>
      </c>
      <c r="D40" s="57" t="s">
        <v>114</v>
      </c>
      <c r="E40" s="38">
        <v>96452373.960000008</v>
      </c>
    </row>
    <row r="41" spans="1:5" x14ac:dyDescent="0.2">
      <c r="A41">
        <v>2026</v>
      </c>
      <c r="B41">
        <v>2</v>
      </c>
      <c r="C41" t="s">
        <v>123</v>
      </c>
      <c r="D41" s="57" t="s">
        <v>42</v>
      </c>
      <c r="E41" s="38">
        <v>376299.92</v>
      </c>
    </row>
    <row r="42" spans="1:5" x14ac:dyDescent="0.2">
      <c r="A42">
        <v>2026</v>
      </c>
      <c r="B42">
        <v>2</v>
      </c>
      <c r="C42" t="s">
        <v>122</v>
      </c>
      <c r="D42" s="57" t="s">
        <v>115</v>
      </c>
      <c r="E42" s="38">
        <v>7734749.7200000007</v>
      </c>
    </row>
    <row r="43" spans="1:5" x14ac:dyDescent="0.2">
      <c r="A43">
        <v>2026</v>
      </c>
      <c r="B43">
        <v>2</v>
      </c>
      <c r="C43" t="s">
        <v>122</v>
      </c>
      <c r="D43" s="57" t="s">
        <v>116</v>
      </c>
      <c r="E43" s="38">
        <v>584710</v>
      </c>
    </row>
    <row r="44" spans="1:5" x14ac:dyDescent="0.2">
      <c r="A44">
        <v>2026</v>
      </c>
      <c r="B44">
        <v>2</v>
      </c>
      <c r="C44" t="s">
        <v>124</v>
      </c>
      <c r="D44" s="57" t="s">
        <v>117</v>
      </c>
      <c r="E44" s="38">
        <v>1460000</v>
      </c>
    </row>
    <row r="45" spans="1:5" x14ac:dyDescent="0.2">
      <c r="A45">
        <v>2026</v>
      </c>
      <c r="B45">
        <v>2</v>
      </c>
      <c r="C45" t="s">
        <v>124</v>
      </c>
      <c r="D45" s="57" t="s">
        <v>118</v>
      </c>
      <c r="E45" s="38">
        <v>8133872.4899999993</v>
      </c>
    </row>
    <row r="46" spans="1:5" x14ac:dyDescent="0.2">
      <c r="A46">
        <v>2026</v>
      </c>
      <c r="B46">
        <v>3</v>
      </c>
      <c r="C46" t="s">
        <v>121</v>
      </c>
      <c r="D46" s="57" t="s">
        <v>98</v>
      </c>
      <c r="E46" s="38">
        <v>21790048.300000001</v>
      </c>
    </row>
    <row r="47" spans="1:5" x14ac:dyDescent="0.2">
      <c r="A47">
        <v>2026</v>
      </c>
      <c r="B47">
        <v>3</v>
      </c>
      <c r="C47" t="s">
        <v>122</v>
      </c>
      <c r="D47" s="57" t="s">
        <v>99</v>
      </c>
      <c r="E47" s="38">
        <v>16200</v>
      </c>
    </row>
    <row r="48" spans="1:5" x14ac:dyDescent="0.2">
      <c r="A48">
        <v>2026</v>
      </c>
      <c r="B48">
        <v>3</v>
      </c>
      <c r="C48" t="s">
        <v>122</v>
      </c>
      <c r="D48" s="57" t="s">
        <v>100</v>
      </c>
      <c r="E48" s="38">
        <v>6000</v>
      </c>
    </row>
    <row r="49" spans="1:5" x14ac:dyDescent="0.2">
      <c r="A49">
        <v>2026</v>
      </c>
      <c r="B49">
        <v>3</v>
      </c>
      <c r="C49" t="s">
        <v>122</v>
      </c>
      <c r="D49" s="57" t="s">
        <v>101</v>
      </c>
      <c r="E49" s="38">
        <v>1812717.6</v>
      </c>
    </row>
    <row r="50" spans="1:5" x14ac:dyDescent="0.2">
      <c r="A50">
        <v>2026</v>
      </c>
      <c r="B50">
        <v>3</v>
      </c>
      <c r="C50" t="s">
        <v>122</v>
      </c>
      <c r="D50" s="57" t="s">
        <v>102</v>
      </c>
      <c r="E50" s="38">
        <v>2227575</v>
      </c>
    </row>
    <row r="51" spans="1:5" x14ac:dyDescent="0.2">
      <c r="A51">
        <v>2026</v>
      </c>
      <c r="B51">
        <v>3</v>
      </c>
      <c r="C51" t="s">
        <v>122</v>
      </c>
      <c r="D51" s="57" t="s">
        <v>103</v>
      </c>
      <c r="E51" s="38">
        <v>48095.48</v>
      </c>
    </row>
    <row r="52" spans="1:5" x14ac:dyDescent="0.2">
      <c r="A52">
        <v>2026</v>
      </c>
      <c r="B52">
        <v>3</v>
      </c>
      <c r="C52" t="s">
        <v>122</v>
      </c>
      <c r="D52" s="57" t="s">
        <v>104</v>
      </c>
      <c r="E52" s="38">
        <v>334465.09000000003</v>
      </c>
    </row>
    <row r="53" spans="1:5" x14ac:dyDescent="0.2">
      <c r="A53">
        <v>2026</v>
      </c>
      <c r="B53">
        <v>3</v>
      </c>
      <c r="C53" t="s">
        <v>122</v>
      </c>
      <c r="D53" s="57" t="s">
        <v>105</v>
      </c>
      <c r="E53" s="38">
        <v>16811188.920000002</v>
      </c>
    </row>
    <row r="54" spans="1:5" x14ac:dyDescent="0.2">
      <c r="A54">
        <v>2026</v>
      </c>
      <c r="B54">
        <v>3</v>
      </c>
      <c r="C54" t="s">
        <v>122</v>
      </c>
      <c r="D54" s="57" t="s">
        <v>106</v>
      </c>
      <c r="E54" s="38">
        <v>0</v>
      </c>
    </row>
    <row r="55" spans="1:5" x14ac:dyDescent="0.2">
      <c r="A55">
        <v>2026</v>
      </c>
      <c r="B55">
        <v>3</v>
      </c>
      <c r="C55" t="s">
        <v>122</v>
      </c>
      <c r="D55" s="57" t="s">
        <v>107</v>
      </c>
      <c r="E55" s="38">
        <v>19214026.73</v>
      </c>
    </row>
    <row r="56" spans="1:5" x14ac:dyDescent="0.2">
      <c r="A56">
        <v>2026</v>
      </c>
      <c r="B56">
        <v>3</v>
      </c>
      <c r="C56" t="s">
        <v>122</v>
      </c>
      <c r="D56" s="57" t="s">
        <v>108</v>
      </c>
      <c r="E56" s="38">
        <v>0</v>
      </c>
    </row>
    <row r="57" spans="1:5" x14ac:dyDescent="0.2">
      <c r="A57">
        <v>2026</v>
      </c>
      <c r="B57">
        <v>3</v>
      </c>
      <c r="C57" t="s">
        <v>109</v>
      </c>
      <c r="D57" s="57" t="s">
        <v>109</v>
      </c>
      <c r="E57" s="38">
        <v>17189594.199999999</v>
      </c>
    </row>
    <row r="58" spans="1:5" x14ac:dyDescent="0.2">
      <c r="A58">
        <v>2026</v>
      </c>
      <c r="B58">
        <v>3</v>
      </c>
      <c r="C58" t="s">
        <v>122</v>
      </c>
      <c r="D58" s="57" t="s">
        <v>110</v>
      </c>
      <c r="E58" s="38">
        <v>419901.27999999997</v>
      </c>
    </row>
    <row r="59" spans="1:5" x14ac:dyDescent="0.2">
      <c r="A59">
        <v>2026</v>
      </c>
      <c r="B59">
        <v>3</v>
      </c>
      <c r="C59" t="s">
        <v>111</v>
      </c>
      <c r="D59" s="57" t="s">
        <v>111</v>
      </c>
      <c r="E59" s="38">
        <v>95218883.569999993</v>
      </c>
    </row>
    <row r="60" spans="1:5" x14ac:dyDescent="0.2">
      <c r="A60">
        <v>2026</v>
      </c>
      <c r="B60">
        <v>3</v>
      </c>
      <c r="C60" t="s">
        <v>122</v>
      </c>
      <c r="D60" s="57" t="s">
        <v>112</v>
      </c>
      <c r="E60" s="38">
        <v>14652478.439999999</v>
      </c>
    </row>
    <row r="61" spans="1:5" x14ac:dyDescent="0.2">
      <c r="A61">
        <v>2026</v>
      </c>
      <c r="B61">
        <v>3</v>
      </c>
      <c r="C61" t="s">
        <v>122</v>
      </c>
      <c r="D61" s="57" t="s">
        <v>113</v>
      </c>
      <c r="E61" s="38">
        <v>4090374.27</v>
      </c>
    </row>
    <row r="62" spans="1:5" x14ac:dyDescent="0.2">
      <c r="A62">
        <v>2026</v>
      </c>
      <c r="B62">
        <v>3</v>
      </c>
      <c r="C62" t="s">
        <v>123</v>
      </c>
      <c r="D62" s="57" t="s">
        <v>114</v>
      </c>
      <c r="E62" s="38">
        <v>53545789.43</v>
      </c>
    </row>
    <row r="63" spans="1:5" x14ac:dyDescent="0.2">
      <c r="A63">
        <v>2026</v>
      </c>
      <c r="B63">
        <v>3</v>
      </c>
      <c r="C63" t="s">
        <v>123</v>
      </c>
      <c r="D63" s="57" t="s">
        <v>42</v>
      </c>
      <c r="E63" s="38">
        <v>18538.7</v>
      </c>
    </row>
    <row r="64" spans="1:5" x14ac:dyDescent="0.2">
      <c r="A64">
        <v>2026</v>
      </c>
      <c r="B64">
        <v>3</v>
      </c>
      <c r="C64" t="s">
        <v>122</v>
      </c>
      <c r="D64" s="57" t="s">
        <v>115</v>
      </c>
      <c r="E64" s="38">
        <v>6742949.4000000004</v>
      </c>
    </row>
    <row r="65" spans="1:5" x14ac:dyDescent="0.2">
      <c r="A65">
        <v>2026</v>
      </c>
      <c r="B65">
        <v>3</v>
      </c>
      <c r="C65" t="s">
        <v>122</v>
      </c>
      <c r="D65" s="57" t="s">
        <v>116</v>
      </c>
      <c r="E65" s="38">
        <v>514472.4</v>
      </c>
    </row>
    <row r="66" spans="1:5" x14ac:dyDescent="0.2">
      <c r="A66">
        <v>2026</v>
      </c>
      <c r="B66">
        <v>3</v>
      </c>
      <c r="C66" t="s">
        <v>124</v>
      </c>
      <c r="D66" s="57" t="s">
        <v>117</v>
      </c>
      <c r="E66" s="38">
        <v>1458287.66</v>
      </c>
    </row>
    <row r="67" spans="1:5" x14ac:dyDescent="0.2">
      <c r="A67">
        <v>2026</v>
      </c>
      <c r="B67">
        <v>3</v>
      </c>
      <c r="C67" t="s">
        <v>124</v>
      </c>
      <c r="D67" s="57" t="s">
        <v>118</v>
      </c>
      <c r="E67" s="38">
        <v>7038416.6900000004</v>
      </c>
    </row>
    <row r="68" spans="1:5" x14ac:dyDescent="0.2">
      <c r="A68">
        <v>2026</v>
      </c>
      <c r="B68">
        <v>4</v>
      </c>
      <c r="C68" t="s">
        <v>121</v>
      </c>
      <c r="D68" s="57" t="s">
        <v>98</v>
      </c>
      <c r="E68" s="38">
        <v>10851541.75</v>
      </c>
    </row>
    <row r="69" spans="1:5" x14ac:dyDescent="0.2">
      <c r="A69">
        <v>2026</v>
      </c>
      <c r="B69">
        <v>4</v>
      </c>
      <c r="C69" t="s">
        <v>122</v>
      </c>
      <c r="D69" s="57" t="s">
        <v>99</v>
      </c>
      <c r="E69" s="38">
        <v>41900</v>
      </c>
    </row>
    <row r="70" spans="1:5" x14ac:dyDescent="0.2">
      <c r="A70">
        <v>2026</v>
      </c>
      <c r="B70">
        <v>4</v>
      </c>
      <c r="C70" t="s">
        <v>122</v>
      </c>
      <c r="D70" s="57" t="s">
        <v>100</v>
      </c>
      <c r="E70" s="38">
        <v>8611.09</v>
      </c>
    </row>
    <row r="71" spans="1:5" x14ac:dyDescent="0.2">
      <c r="A71">
        <v>2026</v>
      </c>
      <c r="B71">
        <v>4</v>
      </c>
      <c r="C71" t="s">
        <v>122</v>
      </c>
      <c r="D71" s="57" t="s">
        <v>101</v>
      </c>
      <c r="E71" s="38">
        <v>2129466.2600000002</v>
      </c>
    </row>
    <row r="72" spans="1:5" x14ac:dyDescent="0.2">
      <c r="A72">
        <v>2026</v>
      </c>
      <c r="B72">
        <v>4</v>
      </c>
      <c r="C72" t="s">
        <v>122</v>
      </c>
      <c r="D72" s="57" t="s">
        <v>102</v>
      </c>
      <c r="E72" s="38">
        <v>2408942.33</v>
      </c>
    </row>
    <row r="73" spans="1:5" x14ac:dyDescent="0.2">
      <c r="A73">
        <v>2026</v>
      </c>
      <c r="B73">
        <v>4</v>
      </c>
      <c r="C73" t="s">
        <v>122</v>
      </c>
      <c r="D73" s="57" t="s">
        <v>103</v>
      </c>
      <c r="E73" s="38">
        <v>44960.02</v>
      </c>
    </row>
    <row r="74" spans="1:5" x14ac:dyDescent="0.2">
      <c r="A74">
        <v>2026</v>
      </c>
      <c r="B74">
        <v>4</v>
      </c>
      <c r="C74" t="s">
        <v>122</v>
      </c>
      <c r="D74" s="57" t="s">
        <v>104</v>
      </c>
      <c r="E74" s="38">
        <v>466593.5</v>
      </c>
    </row>
    <row r="75" spans="1:5" x14ac:dyDescent="0.2">
      <c r="A75">
        <v>2026</v>
      </c>
      <c r="B75">
        <v>4</v>
      </c>
      <c r="C75" t="s">
        <v>122</v>
      </c>
      <c r="D75" s="57" t="s">
        <v>105</v>
      </c>
      <c r="E75" s="38">
        <v>25867823.800000001</v>
      </c>
    </row>
    <row r="76" spans="1:5" x14ac:dyDescent="0.2">
      <c r="A76">
        <v>2026</v>
      </c>
      <c r="B76">
        <v>4</v>
      </c>
      <c r="C76" t="s">
        <v>122</v>
      </c>
      <c r="D76" s="57" t="s">
        <v>106</v>
      </c>
      <c r="E76" s="38">
        <v>0</v>
      </c>
    </row>
    <row r="77" spans="1:5" x14ac:dyDescent="0.2">
      <c r="A77">
        <v>2026</v>
      </c>
      <c r="B77">
        <v>4</v>
      </c>
      <c r="C77" t="s">
        <v>122</v>
      </c>
      <c r="D77" s="57" t="s">
        <v>107</v>
      </c>
      <c r="E77" s="38">
        <v>39949897.32</v>
      </c>
    </row>
    <row r="78" spans="1:5" x14ac:dyDescent="0.2">
      <c r="A78">
        <v>2026</v>
      </c>
      <c r="B78">
        <v>4</v>
      </c>
      <c r="C78" t="s">
        <v>122</v>
      </c>
      <c r="D78" s="57" t="s">
        <v>108</v>
      </c>
      <c r="E78" s="38">
        <v>50</v>
      </c>
    </row>
    <row r="79" spans="1:5" x14ac:dyDescent="0.2">
      <c r="A79">
        <v>2026</v>
      </c>
      <c r="B79">
        <v>4</v>
      </c>
      <c r="C79" t="s">
        <v>109</v>
      </c>
      <c r="D79" s="57" t="s">
        <v>109</v>
      </c>
      <c r="E79" s="38">
        <v>38463562.350000001</v>
      </c>
    </row>
    <row r="80" spans="1:5" x14ac:dyDescent="0.2">
      <c r="A80">
        <v>2026</v>
      </c>
      <c r="B80">
        <v>4</v>
      </c>
      <c r="C80" t="s">
        <v>122</v>
      </c>
      <c r="D80" s="57" t="s">
        <v>110</v>
      </c>
      <c r="E80" s="38">
        <v>1286950.07</v>
      </c>
    </row>
    <row r="81" spans="1:5" x14ac:dyDescent="0.2">
      <c r="A81">
        <v>2026</v>
      </c>
      <c r="B81">
        <v>4</v>
      </c>
      <c r="C81" t="s">
        <v>111</v>
      </c>
      <c r="D81" s="57" t="s">
        <v>111</v>
      </c>
      <c r="E81" s="38">
        <v>123971275.16</v>
      </c>
    </row>
    <row r="82" spans="1:5" x14ac:dyDescent="0.2">
      <c r="A82">
        <v>2026</v>
      </c>
      <c r="B82">
        <v>4</v>
      </c>
      <c r="C82" t="s">
        <v>122</v>
      </c>
      <c r="D82" s="57" t="s">
        <v>112</v>
      </c>
      <c r="E82" s="38">
        <v>25284831.509999998</v>
      </c>
    </row>
    <row r="83" spans="1:5" x14ac:dyDescent="0.2">
      <c r="A83">
        <v>2026</v>
      </c>
      <c r="B83">
        <v>4</v>
      </c>
      <c r="C83" t="s">
        <v>122</v>
      </c>
      <c r="D83" s="57" t="s">
        <v>113</v>
      </c>
      <c r="E83" s="38">
        <v>42277040.880000003</v>
      </c>
    </row>
    <row r="84" spans="1:5" x14ac:dyDescent="0.2">
      <c r="A84">
        <v>2026</v>
      </c>
      <c r="B84">
        <v>4</v>
      </c>
      <c r="C84" t="s">
        <v>123</v>
      </c>
      <c r="D84" s="57" t="s">
        <v>114</v>
      </c>
      <c r="E84" s="38">
        <v>552380316.78999996</v>
      </c>
    </row>
    <row r="85" spans="1:5" x14ac:dyDescent="0.2">
      <c r="A85">
        <v>2026</v>
      </c>
      <c r="B85">
        <v>4</v>
      </c>
      <c r="C85" t="s">
        <v>123</v>
      </c>
      <c r="D85" s="57" t="s">
        <v>42</v>
      </c>
      <c r="E85" s="38">
        <v>20576.310000000001</v>
      </c>
    </row>
    <row r="86" spans="1:5" x14ac:dyDescent="0.2">
      <c r="A86">
        <v>2026</v>
      </c>
      <c r="B86">
        <v>4</v>
      </c>
      <c r="C86" t="s">
        <v>122</v>
      </c>
      <c r="D86" s="57" t="s">
        <v>115</v>
      </c>
      <c r="E86" s="38">
        <v>11325387.330000002</v>
      </c>
    </row>
    <row r="87" spans="1:5" x14ac:dyDescent="0.2">
      <c r="A87">
        <v>2026</v>
      </c>
      <c r="B87">
        <v>4</v>
      </c>
      <c r="C87" t="s">
        <v>122</v>
      </c>
      <c r="D87" s="57" t="s">
        <v>116</v>
      </c>
      <c r="E87" s="38">
        <v>862146.37000000011</v>
      </c>
    </row>
    <row r="88" spans="1:5" x14ac:dyDescent="0.2">
      <c r="A88">
        <v>2026</v>
      </c>
      <c r="B88">
        <v>4</v>
      </c>
      <c r="C88" t="s">
        <v>124</v>
      </c>
      <c r="D88" s="57" t="s">
        <v>117</v>
      </c>
      <c r="E88" s="38">
        <v>2071055.77</v>
      </c>
    </row>
    <row r="89" spans="1:5" x14ac:dyDescent="0.2">
      <c r="A89">
        <v>2026</v>
      </c>
      <c r="B89">
        <v>4</v>
      </c>
      <c r="C89" t="s">
        <v>124</v>
      </c>
      <c r="D89" s="57" t="s">
        <v>118</v>
      </c>
      <c r="E89" s="38">
        <v>7913949.4500000002</v>
      </c>
    </row>
    <row r="90" spans="1:5" x14ac:dyDescent="0.2">
      <c r="A90">
        <v>2026</v>
      </c>
      <c r="B90">
        <v>5</v>
      </c>
      <c r="C90" t="s">
        <v>121</v>
      </c>
      <c r="D90" s="57" t="s">
        <v>98</v>
      </c>
      <c r="E90" s="38">
        <v>11048213.439999999</v>
      </c>
    </row>
    <row r="91" spans="1:5" x14ac:dyDescent="0.2">
      <c r="A91">
        <v>2026</v>
      </c>
      <c r="B91">
        <v>5</v>
      </c>
      <c r="C91" t="s">
        <v>122</v>
      </c>
      <c r="D91" s="57" t="s">
        <v>99</v>
      </c>
      <c r="E91" s="38">
        <v>5600</v>
      </c>
    </row>
    <row r="92" spans="1:5" x14ac:dyDescent="0.2">
      <c r="A92">
        <v>2026</v>
      </c>
      <c r="B92">
        <v>5</v>
      </c>
      <c r="C92" t="s">
        <v>122</v>
      </c>
      <c r="D92" s="57" t="s">
        <v>100</v>
      </c>
      <c r="E92" s="38">
        <v>13000</v>
      </c>
    </row>
    <row r="93" spans="1:5" x14ac:dyDescent="0.2">
      <c r="A93">
        <v>2026</v>
      </c>
      <c r="B93">
        <v>5</v>
      </c>
      <c r="C93" t="s">
        <v>122</v>
      </c>
      <c r="D93" s="57" t="s">
        <v>101</v>
      </c>
      <c r="E93" s="38">
        <v>2283001.56</v>
      </c>
    </row>
    <row r="94" spans="1:5" x14ac:dyDescent="0.2">
      <c r="A94">
        <v>2026</v>
      </c>
      <c r="B94">
        <v>5</v>
      </c>
      <c r="C94" t="s">
        <v>122</v>
      </c>
      <c r="D94" s="57" t="s">
        <v>102</v>
      </c>
      <c r="E94" s="38">
        <v>4609543.96</v>
      </c>
    </row>
    <row r="95" spans="1:5" x14ac:dyDescent="0.2">
      <c r="A95">
        <v>2026</v>
      </c>
      <c r="B95">
        <v>5</v>
      </c>
      <c r="C95" t="s">
        <v>122</v>
      </c>
      <c r="D95" s="57" t="s">
        <v>103</v>
      </c>
      <c r="E95" s="38">
        <v>33270.74</v>
      </c>
    </row>
    <row r="96" spans="1:5" x14ac:dyDescent="0.2">
      <c r="A96">
        <v>2026</v>
      </c>
      <c r="B96">
        <v>5</v>
      </c>
      <c r="C96" t="s">
        <v>122</v>
      </c>
      <c r="D96" s="57" t="s">
        <v>104</v>
      </c>
      <c r="E96" s="38">
        <v>343507.38</v>
      </c>
    </row>
    <row r="97" spans="1:5" x14ac:dyDescent="0.2">
      <c r="A97">
        <v>2026</v>
      </c>
      <c r="B97">
        <v>5</v>
      </c>
      <c r="C97" t="s">
        <v>122</v>
      </c>
      <c r="D97" s="57" t="s">
        <v>105</v>
      </c>
      <c r="E97" s="38">
        <v>13316365.01</v>
      </c>
    </row>
    <row r="98" spans="1:5" x14ac:dyDescent="0.2">
      <c r="A98">
        <v>2026</v>
      </c>
      <c r="B98">
        <v>5</v>
      </c>
      <c r="C98" t="s">
        <v>122</v>
      </c>
      <c r="D98" s="57" t="s">
        <v>106</v>
      </c>
      <c r="E98" s="38">
        <v>1350</v>
      </c>
    </row>
    <row r="99" spans="1:5" x14ac:dyDescent="0.2">
      <c r="A99">
        <v>2026</v>
      </c>
      <c r="B99">
        <v>5</v>
      </c>
      <c r="C99" t="s">
        <v>122</v>
      </c>
      <c r="D99" s="57" t="s">
        <v>107</v>
      </c>
      <c r="E99" s="38">
        <v>22451255.5</v>
      </c>
    </row>
    <row r="100" spans="1:5" x14ac:dyDescent="0.2">
      <c r="A100">
        <v>2026</v>
      </c>
      <c r="B100">
        <v>5</v>
      </c>
      <c r="C100" t="s">
        <v>122</v>
      </c>
      <c r="D100" s="57" t="s">
        <v>108</v>
      </c>
      <c r="E100" s="38">
        <v>50</v>
      </c>
    </row>
    <row r="101" spans="1:5" x14ac:dyDescent="0.2">
      <c r="A101">
        <v>2026</v>
      </c>
      <c r="B101">
        <v>5</v>
      </c>
      <c r="C101" t="s">
        <v>109</v>
      </c>
      <c r="D101" s="57" t="s">
        <v>109</v>
      </c>
      <c r="E101" s="38">
        <v>2588883.8299999996</v>
      </c>
    </row>
    <row r="102" spans="1:5" x14ac:dyDescent="0.2">
      <c r="A102">
        <v>2026</v>
      </c>
      <c r="B102">
        <v>5</v>
      </c>
      <c r="C102" t="s">
        <v>122</v>
      </c>
      <c r="D102" s="57" t="s">
        <v>110</v>
      </c>
      <c r="E102" s="38">
        <v>901912.87</v>
      </c>
    </row>
    <row r="103" spans="1:5" x14ac:dyDescent="0.2">
      <c r="A103">
        <v>2026</v>
      </c>
      <c r="B103">
        <v>5</v>
      </c>
      <c r="C103" t="s">
        <v>111</v>
      </c>
      <c r="D103" s="57" t="s">
        <v>111</v>
      </c>
      <c r="E103" s="38">
        <v>102133927</v>
      </c>
    </row>
    <row r="104" spans="1:5" x14ac:dyDescent="0.2">
      <c r="A104">
        <v>2026</v>
      </c>
      <c r="B104">
        <v>5</v>
      </c>
      <c r="C104" t="s">
        <v>122</v>
      </c>
      <c r="D104" s="57" t="s">
        <v>112</v>
      </c>
      <c r="E104" s="38">
        <v>15959466.640000001</v>
      </c>
    </row>
    <row r="105" spans="1:5" x14ac:dyDescent="0.2">
      <c r="A105">
        <v>2026</v>
      </c>
      <c r="B105">
        <v>5</v>
      </c>
      <c r="C105" t="s">
        <v>122</v>
      </c>
      <c r="D105" s="57" t="s">
        <v>113</v>
      </c>
      <c r="E105" s="38">
        <v>6533113.1799999997</v>
      </c>
    </row>
    <row r="106" spans="1:5" x14ac:dyDescent="0.2">
      <c r="A106">
        <v>2026</v>
      </c>
      <c r="B106">
        <v>5</v>
      </c>
      <c r="C106" t="s">
        <v>123</v>
      </c>
      <c r="D106" s="57" t="s">
        <v>114</v>
      </c>
      <c r="E106" s="38">
        <v>90921311.590000004</v>
      </c>
    </row>
    <row r="107" spans="1:5" x14ac:dyDescent="0.2">
      <c r="A107">
        <v>2026</v>
      </c>
      <c r="B107">
        <v>5</v>
      </c>
      <c r="C107" t="s">
        <v>123</v>
      </c>
      <c r="D107" s="57" t="s">
        <v>42</v>
      </c>
      <c r="E107" s="38">
        <v>34169.9</v>
      </c>
    </row>
    <row r="108" spans="1:5" x14ac:dyDescent="0.2">
      <c r="A108">
        <v>2026</v>
      </c>
      <c r="B108">
        <v>5</v>
      </c>
      <c r="C108" t="s">
        <v>122</v>
      </c>
      <c r="D108" s="57" t="s">
        <v>115</v>
      </c>
      <c r="E108" s="38">
        <v>6199874.8799999999</v>
      </c>
    </row>
    <row r="109" spans="1:5" x14ac:dyDescent="0.2">
      <c r="A109">
        <v>2026</v>
      </c>
      <c r="B109">
        <v>5</v>
      </c>
      <c r="C109" t="s">
        <v>122</v>
      </c>
      <c r="D109" s="57" t="s">
        <v>116</v>
      </c>
      <c r="E109" s="38">
        <v>601091</v>
      </c>
    </row>
    <row r="110" spans="1:5" x14ac:dyDescent="0.2">
      <c r="A110">
        <v>2026</v>
      </c>
      <c r="B110">
        <v>5</v>
      </c>
      <c r="C110" t="s">
        <v>124</v>
      </c>
      <c r="D110" s="57" t="s">
        <v>117</v>
      </c>
      <c r="E110" s="38">
        <v>1411369.86</v>
      </c>
    </row>
    <row r="111" spans="1:5" x14ac:dyDescent="0.2">
      <c r="A111">
        <v>2026</v>
      </c>
      <c r="B111">
        <v>5</v>
      </c>
      <c r="C111" t="s">
        <v>124</v>
      </c>
      <c r="D111" s="57" t="s">
        <v>118</v>
      </c>
      <c r="E111" s="38">
        <v>8185945.2599999998</v>
      </c>
    </row>
    <row r="112" spans="1:5" x14ac:dyDescent="0.2">
      <c r="A112">
        <v>2026</v>
      </c>
      <c r="B112">
        <v>6</v>
      </c>
      <c r="C112" t="s">
        <v>121</v>
      </c>
      <c r="D112" s="57" t="s">
        <v>98</v>
      </c>
      <c r="E112" s="38">
        <v>12996664.18</v>
      </c>
    </row>
    <row r="113" spans="1:5" x14ac:dyDescent="0.2">
      <c r="A113">
        <v>2026</v>
      </c>
      <c r="B113">
        <v>6</v>
      </c>
      <c r="C113" t="s">
        <v>122</v>
      </c>
      <c r="D113" s="57" t="s">
        <v>99</v>
      </c>
      <c r="E113" s="38">
        <v>24400</v>
      </c>
    </row>
    <row r="114" spans="1:5" x14ac:dyDescent="0.2">
      <c r="A114">
        <v>2026</v>
      </c>
      <c r="B114">
        <v>6</v>
      </c>
      <c r="C114" t="s">
        <v>122</v>
      </c>
      <c r="D114" s="57" t="s">
        <v>100</v>
      </c>
      <c r="E114" s="38">
        <v>11000</v>
      </c>
    </row>
    <row r="115" spans="1:5" x14ac:dyDescent="0.2">
      <c r="A115">
        <v>2026</v>
      </c>
      <c r="B115">
        <v>6</v>
      </c>
      <c r="C115" t="s">
        <v>122</v>
      </c>
      <c r="D115" s="57" t="s">
        <v>101</v>
      </c>
      <c r="E115" s="38">
        <v>2206572.2999999998</v>
      </c>
    </row>
    <row r="116" spans="1:5" x14ac:dyDescent="0.2">
      <c r="A116">
        <v>2026</v>
      </c>
      <c r="B116">
        <v>6</v>
      </c>
      <c r="C116" t="s">
        <v>122</v>
      </c>
      <c r="D116" s="57" t="s">
        <v>102</v>
      </c>
      <c r="E116" s="38">
        <v>2563434.73</v>
      </c>
    </row>
    <row r="117" spans="1:5" x14ac:dyDescent="0.2">
      <c r="A117">
        <v>2026</v>
      </c>
      <c r="B117">
        <v>6</v>
      </c>
      <c r="C117" t="s">
        <v>122</v>
      </c>
      <c r="D117" s="57" t="s">
        <v>103</v>
      </c>
      <c r="E117" s="38">
        <v>101996.28</v>
      </c>
    </row>
    <row r="118" spans="1:5" x14ac:dyDescent="0.2">
      <c r="A118">
        <v>2026</v>
      </c>
      <c r="B118">
        <v>6</v>
      </c>
      <c r="C118" t="s">
        <v>122</v>
      </c>
      <c r="D118" s="57" t="s">
        <v>104</v>
      </c>
      <c r="E118" s="38">
        <v>356725.06</v>
      </c>
    </row>
    <row r="119" spans="1:5" x14ac:dyDescent="0.2">
      <c r="A119">
        <v>2026</v>
      </c>
      <c r="B119">
        <v>6</v>
      </c>
      <c r="C119" t="s">
        <v>122</v>
      </c>
      <c r="D119" s="57" t="s">
        <v>105</v>
      </c>
      <c r="E119" s="38">
        <v>17199822.07</v>
      </c>
    </row>
    <row r="120" spans="1:5" x14ac:dyDescent="0.2">
      <c r="A120">
        <v>2026</v>
      </c>
      <c r="B120">
        <v>6</v>
      </c>
      <c r="C120" t="s">
        <v>122</v>
      </c>
      <c r="D120" s="57" t="s">
        <v>106</v>
      </c>
      <c r="E120" s="38">
        <v>0</v>
      </c>
    </row>
    <row r="121" spans="1:5" x14ac:dyDescent="0.2">
      <c r="A121">
        <v>2026</v>
      </c>
      <c r="B121">
        <v>6</v>
      </c>
      <c r="C121" t="s">
        <v>122</v>
      </c>
      <c r="D121" s="57" t="s">
        <v>107</v>
      </c>
      <c r="E121" s="38">
        <v>30023341</v>
      </c>
    </row>
    <row r="122" spans="1:5" x14ac:dyDescent="0.2">
      <c r="A122">
        <v>2026</v>
      </c>
      <c r="B122">
        <v>6</v>
      </c>
      <c r="C122" t="s">
        <v>122</v>
      </c>
      <c r="D122" s="57" t="s">
        <v>108</v>
      </c>
      <c r="E122" s="38">
        <v>0</v>
      </c>
    </row>
    <row r="123" spans="1:5" x14ac:dyDescent="0.2">
      <c r="A123">
        <v>2026</v>
      </c>
      <c r="B123">
        <v>6</v>
      </c>
      <c r="C123" t="s">
        <v>109</v>
      </c>
      <c r="D123" s="57" t="s">
        <v>109</v>
      </c>
      <c r="E123" s="38">
        <v>57407614.939999998</v>
      </c>
    </row>
    <row r="124" spans="1:5" x14ac:dyDescent="0.2">
      <c r="A124">
        <v>2026</v>
      </c>
      <c r="B124">
        <v>6</v>
      </c>
      <c r="C124" t="s">
        <v>122</v>
      </c>
      <c r="D124" s="57" t="s">
        <v>110</v>
      </c>
      <c r="E124" s="38">
        <v>1148520.1599999999</v>
      </c>
    </row>
    <row r="125" spans="1:5" x14ac:dyDescent="0.2">
      <c r="A125">
        <v>2026</v>
      </c>
      <c r="B125">
        <v>6</v>
      </c>
      <c r="C125" t="s">
        <v>111</v>
      </c>
      <c r="D125" s="57" t="s">
        <v>111</v>
      </c>
      <c r="E125" s="38">
        <v>126338778.05</v>
      </c>
    </row>
    <row r="126" spans="1:5" x14ac:dyDescent="0.2">
      <c r="A126">
        <v>2026</v>
      </c>
      <c r="B126">
        <v>6</v>
      </c>
      <c r="C126" t="s">
        <v>122</v>
      </c>
      <c r="D126" s="57" t="s">
        <v>112</v>
      </c>
      <c r="E126" s="38">
        <v>20844208.140000001</v>
      </c>
    </row>
    <row r="127" spans="1:5" x14ac:dyDescent="0.2">
      <c r="A127">
        <v>2026</v>
      </c>
      <c r="B127">
        <v>6</v>
      </c>
      <c r="C127" t="s">
        <v>122</v>
      </c>
      <c r="D127" s="57" t="s">
        <v>113</v>
      </c>
      <c r="E127" s="38">
        <v>26465065.800000001</v>
      </c>
    </row>
    <row r="128" spans="1:5" x14ac:dyDescent="0.2">
      <c r="A128">
        <v>2026</v>
      </c>
      <c r="B128">
        <v>6</v>
      </c>
      <c r="C128" t="s">
        <v>123</v>
      </c>
      <c r="D128" s="57" t="s">
        <v>114</v>
      </c>
      <c r="E128" s="38">
        <v>96872816.769999996</v>
      </c>
    </row>
    <row r="129" spans="1:5" x14ac:dyDescent="0.2">
      <c r="A129">
        <v>2026</v>
      </c>
      <c r="B129">
        <v>6</v>
      </c>
      <c r="C129" t="s">
        <v>123</v>
      </c>
      <c r="D129" s="57" t="s">
        <v>42</v>
      </c>
      <c r="E129" s="38">
        <v>144603.56</v>
      </c>
    </row>
    <row r="130" spans="1:5" x14ac:dyDescent="0.2">
      <c r="A130">
        <v>2026</v>
      </c>
      <c r="B130">
        <v>6</v>
      </c>
      <c r="C130" t="s">
        <v>122</v>
      </c>
      <c r="D130" s="57" t="s">
        <v>115</v>
      </c>
      <c r="E130" s="38">
        <v>8230717.1600000001</v>
      </c>
    </row>
    <row r="131" spans="1:5" x14ac:dyDescent="0.2">
      <c r="A131">
        <v>2026</v>
      </c>
      <c r="B131">
        <v>6</v>
      </c>
      <c r="C131" t="s">
        <v>122</v>
      </c>
      <c r="D131" s="57" t="s">
        <v>116</v>
      </c>
      <c r="E131" s="38">
        <v>614440</v>
      </c>
    </row>
    <row r="132" spans="1:5" x14ac:dyDescent="0.2">
      <c r="A132">
        <v>2026</v>
      </c>
      <c r="B132">
        <v>6</v>
      </c>
      <c r="C132" t="s">
        <v>124</v>
      </c>
      <c r="D132" s="57" t="s">
        <v>117</v>
      </c>
      <c r="E132" s="38">
        <v>2137602.73</v>
      </c>
    </row>
    <row r="133" spans="1:5" x14ac:dyDescent="0.2">
      <c r="A133">
        <v>2026</v>
      </c>
      <c r="B133">
        <v>6</v>
      </c>
      <c r="C133" t="s">
        <v>124</v>
      </c>
      <c r="D133" s="57" t="s">
        <v>118</v>
      </c>
      <c r="E133" s="38">
        <v>8738636.6699999999</v>
      </c>
    </row>
    <row r="134" spans="1:5" hidden="1" x14ac:dyDescent="0.2">
      <c r="A134">
        <v>2026</v>
      </c>
      <c r="B134">
        <v>7</v>
      </c>
      <c r="C134" t="s">
        <v>121</v>
      </c>
      <c r="D134" t="s">
        <v>98</v>
      </c>
      <c r="E134" s="38">
        <v>11767679.550000001</v>
      </c>
    </row>
    <row r="135" spans="1:5" hidden="1" x14ac:dyDescent="0.2">
      <c r="A135">
        <v>2026</v>
      </c>
      <c r="B135">
        <v>7</v>
      </c>
      <c r="C135" t="s">
        <v>122</v>
      </c>
      <c r="D135" t="s">
        <v>99</v>
      </c>
      <c r="E135" s="38">
        <v>98700</v>
      </c>
    </row>
    <row r="136" spans="1:5" hidden="1" x14ac:dyDescent="0.2">
      <c r="A136">
        <v>2026</v>
      </c>
      <c r="B136">
        <v>7</v>
      </c>
      <c r="C136" t="s">
        <v>122</v>
      </c>
      <c r="D136" t="s">
        <v>100</v>
      </c>
      <c r="E136" s="38">
        <v>5000</v>
      </c>
    </row>
    <row r="137" spans="1:5" hidden="1" x14ac:dyDescent="0.2">
      <c r="A137">
        <v>2026</v>
      </c>
      <c r="B137">
        <v>7</v>
      </c>
      <c r="C137" t="s">
        <v>122</v>
      </c>
      <c r="D137" t="s">
        <v>101</v>
      </c>
      <c r="E137" s="38">
        <v>2579771.61</v>
      </c>
    </row>
    <row r="138" spans="1:5" hidden="1" x14ac:dyDescent="0.2">
      <c r="A138">
        <v>2026</v>
      </c>
      <c r="B138">
        <v>7</v>
      </c>
      <c r="C138" t="s">
        <v>122</v>
      </c>
      <c r="D138" t="s">
        <v>102</v>
      </c>
      <c r="E138" s="38">
        <v>5899971.0999999996</v>
      </c>
    </row>
    <row r="139" spans="1:5" hidden="1" x14ac:dyDescent="0.2">
      <c r="A139">
        <v>2026</v>
      </c>
      <c r="B139">
        <v>7</v>
      </c>
      <c r="C139" t="s">
        <v>122</v>
      </c>
      <c r="D139" t="s">
        <v>103</v>
      </c>
      <c r="E139" s="38">
        <v>13498.99</v>
      </c>
    </row>
    <row r="140" spans="1:5" hidden="1" x14ac:dyDescent="0.2">
      <c r="A140">
        <v>2026</v>
      </c>
      <c r="B140">
        <v>7</v>
      </c>
      <c r="C140" t="s">
        <v>122</v>
      </c>
      <c r="D140" t="s">
        <v>104</v>
      </c>
      <c r="E140" s="38">
        <v>427315.72</v>
      </c>
    </row>
    <row r="141" spans="1:5" hidden="1" x14ac:dyDescent="0.2">
      <c r="A141">
        <v>2026</v>
      </c>
      <c r="B141">
        <v>7</v>
      </c>
      <c r="C141" t="s">
        <v>122</v>
      </c>
      <c r="D141" t="s">
        <v>105</v>
      </c>
      <c r="E141" s="38">
        <v>21130887.41</v>
      </c>
    </row>
    <row r="142" spans="1:5" hidden="1" x14ac:dyDescent="0.2">
      <c r="A142">
        <v>2026</v>
      </c>
      <c r="B142">
        <v>7</v>
      </c>
      <c r="C142" t="s">
        <v>122</v>
      </c>
      <c r="D142" t="s">
        <v>106</v>
      </c>
      <c r="E142" s="38">
        <v>0</v>
      </c>
    </row>
    <row r="143" spans="1:5" hidden="1" x14ac:dyDescent="0.2">
      <c r="A143">
        <v>2026</v>
      </c>
      <c r="B143">
        <v>7</v>
      </c>
      <c r="C143" t="s">
        <v>122</v>
      </c>
      <c r="D143" t="s">
        <v>107</v>
      </c>
      <c r="E143" s="38">
        <v>32755611.379999999</v>
      </c>
    </row>
    <row r="144" spans="1:5" hidden="1" x14ac:dyDescent="0.2">
      <c r="A144">
        <v>2026</v>
      </c>
      <c r="B144">
        <v>7</v>
      </c>
      <c r="C144" t="s">
        <v>122</v>
      </c>
      <c r="D144" t="s">
        <v>108</v>
      </c>
      <c r="E144" s="38">
        <v>0</v>
      </c>
    </row>
    <row r="145" spans="1:5" hidden="1" x14ac:dyDescent="0.2">
      <c r="A145">
        <v>2026</v>
      </c>
      <c r="B145">
        <v>7</v>
      </c>
      <c r="C145" t="s">
        <v>109</v>
      </c>
      <c r="D145" t="s">
        <v>109</v>
      </c>
      <c r="E145" s="38">
        <v>67403504</v>
      </c>
    </row>
    <row r="146" spans="1:5" hidden="1" x14ac:dyDescent="0.2">
      <c r="A146">
        <v>2026</v>
      </c>
      <c r="B146">
        <v>7</v>
      </c>
      <c r="C146" t="s">
        <v>122</v>
      </c>
      <c r="D146" t="s">
        <v>110</v>
      </c>
      <c r="E146" s="38">
        <v>2150189.3199999998</v>
      </c>
    </row>
    <row r="147" spans="1:5" hidden="1" x14ac:dyDescent="0.2">
      <c r="A147">
        <v>2026</v>
      </c>
      <c r="B147">
        <v>7</v>
      </c>
      <c r="C147" t="s">
        <v>111</v>
      </c>
      <c r="D147" t="s">
        <v>111</v>
      </c>
      <c r="E147" s="38">
        <v>146124093.26999998</v>
      </c>
    </row>
    <row r="148" spans="1:5" hidden="1" x14ac:dyDescent="0.2">
      <c r="A148">
        <v>2026</v>
      </c>
      <c r="B148">
        <v>7</v>
      </c>
      <c r="C148" t="s">
        <v>122</v>
      </c>
      <c r="D148" t="s">
        <v>112</v>
      </c>
      <c r="E148" s="38">
        <v>22825922.170000002</v>
      </c>
    </row>
    <row r="149" spans="1:5" hidden="1" x14ac:dyDescent="0.2">
      <c r="A149">
        <v>2026</v>
      </c>
      <c r="B149">
        <v>7</v>
      </c>
      <c r="C149" t="s">
        <v>122</v>
      </c>
      <c r="D149" t="s">
        <v>113</v>
      </c>
      <c r="E149" s="38">
        <v>7133554.3300000001</v>
      </c>
    </row>
    <row r="150" spans="1:5" hidden="1" x14ac:dyDescent="0.2">
      <c r="A150">
        <v>2026</v>
      </c>
      <c r="B150">
        <v>7</v>
      </c>
      <c r="C150" t="s">
        <v>123</v>
      </c>
      <c r="D150" t="s">
        <v>114</v>
      </c>
      <c r="E150" s="38">
        <v>74988988.789999992</v>
      </c>
    </row>
    <row r="151" spans="1:5" hidden="1" x14ac:dyDescent="0.2">
      <c r="A151">
        <v>2026</v>
      </c>
      <c r="B151">
        <v>7</v>
      </c>
      <c r="C151" t="s">
        <v>123</v>
      </c>
      <c r="D151" t="s">
        <v>42</v>
      </c>
      <c r="E151" s="38">
        <v>126037.77</v>
      </c>
    </row>
    <row r="152" spans="1:5" hidden="1" x14ac:dyDescent="0.2">
      <c r="A152">
        <v>2026</v>
      </c>
      <c r="B152">
        <v>7</v>
      </c>
      <c r="C152" t="s">
        <v>122</v>
      </c>
      <c r="D152" t="s">
        <v>115</v>
      </c>
      <c r="E152" s="38">
        <v>8408269.9499999993</v>
      </c>
    </row>
    <row r="153" spans="1:5" hidden="1" x14ac:dyDescent="0.2">
      <c r="A153">
        <v>2026</v>
      </c>
      <c r="B153">
        <v>7</v>
      </c>
      <c r="C153" t="s">
        <v>122</v>
      </c>
      <c r="D153" t="s">
        <v>116</v>
      </c>
      <c r="E153" s="38">
        <v>742646.2</v>
      </c>
    </row>
    <row r="154" spans="1:5" hidden="1" x14ac:dyDescent="0.2">
      <c r="A154">
        <v>2026</v>
      </c>
      <c r="B154">
        <v>7</v>
      </c>
      <c r="C154" t="s">
        <v>124</v>
      </c>
      <c r="D154" t="s">
        <v>117</v>
      </c>
      <c r="E154" s="38">
        <v>1314301.33</v>
      </c>
    </row>
    <row r="155" spans="1:5" hidden="1" x14ac:dyDescent="0.2">
      <c r="A155">
        <v>2026</v>
      </c>
      <c r="B155">
        <v>7</v>
      </c>
      <c r="C155" t="s">
        <v>124</v>
      </c>
      <c r="D155" t="s">
        <v>118</v>
      </c>
      <c r="E155" s="38">
        <v>8051293.4100000001</v>
      </c>
    </row>
    <row r="156" spans="1:5" hidden="1" x14ac:dyDescent="0.2">
      <c r="A156">
        <v>2026</v>
      </c>
      <c r="B156">
        <v>8</v>
      </c>
      <c r="C156" t="s">
        <v>121</v>
      </c>
      <c r="D156" t="s">
        <v>98</v>
      </c>
      <c r="E156" s="38">
        <v>12545449.43</v>
      </c>
    </row>
    <row r="157" spans="1:5" hidden="1" x14ac:dyDescent="0.2">
      <c r="A157">
        <v>2026</v>
      </c>
      <c r="B157">
        <v>8</v>
      </c>
      <c r="C157" t="s">
        <v>122</v>
      </c>
      <c r="D157" t="s">
        <v>99</v>
      </c>
      <c r="E157" s="38">
        <v>16300</v>
      </c>
    </row>
    <row r="158" spans="1:5" hidden="1" x14ac:dyDescent="0.2">
      <c r="A158">
        <v>2026</v>
      </c>
      <c r="B158">
        <v>8</v>
      </c>
      <c r="C158" t="s">
        <v>122</v>
      </c>
      <c r="D158" t="s">
        <v>100</v>
      </c>
      <c r="E158" s="38">
        <v>16000</v>
      </c>
    </row>
    <row r="159" spans="1:5" hidden="1" x14ac:dyDescent="0.2">
      <c r="A159">
        <v>2026</v>
      </c>
      <c r="B159">
        <v>8</v>
      </c>
      <c r="C159" t="s">
        <v>122</v>
      </c>
      <c r="D159" t="s">
        <v>101</v>
      </c>
      <c r="E159" s="38">
        <v>2401119.5</v>
      </c>
    </row>
    <row r="160" spans="1:5" hidden="1" x14ac:dyDescent="0.2">
      <c r="A160">
        <v>2026</v>
      </c>
      <c r="B160">
        <v>8</v>
      </c>
      <c r="C160" t="s">
        <v>122</v>
      </c>
      <c r="D160" t="s">
        <v>102</v>
      </c>
      <c r="E160" s="38">
        <v>2846318.5300000003</v>
      </c>
    </row>
    <row r="161" spans="1:5" hidden="1" x14ac:dyDescent="0.2">
      <c r="A161">
        <v>2026</v>
      </c>
      <c r="B161">
        <v>8</v>
      </c>
      <c r="C161" t="s">
        <v>122</v>
      </c>
      <c r="D161" t="s">
        <v>103</v>
      </c>
      <c r="E161" s="38">
        <v>55505.63</v>
      </c>
    </row>
    <row r="162" spans="1:5" hidden="1" x14ac:dyDescent="0.2">
      <c r="A162">
        <v>2026</v>
      </c>
      <c r="B162">
        <v>8</v>
      </c>
      <c r="C162" t="s">
        <v>122</v>
      </c>
      <c r="D162" t="s">
        <v>104</v>
      </c>
      <c r="E162" s="38">
        <v>348030.09</v>
      </c>
    </row>
    <row r="163" spans="1:5" hidden="1" x14ac:dyDescent="0.2">
      <c r="A163">
        <v>2026</v>
      </c>
      <c r="B163">
        <v>8</v>
      </c>
      <c r="C163" t="s">
        <v>122</v>
      </c>
      <c r="D163" t="s">
        <v>105</v>
      </c>
      <c r="E163" s="38">
        <v>26229748.579999998</v>
      </c>
    </row>
    <row r="164" spans="1:5" hidden="1" x14ac:dyDescent="0.2">
      <c r="A164">
        <v>2026</v>
      </c>
      <c r="B164">
        <v>8</v>
      </c>
      <c r="C164" t="s">
        <v>122</v>
      </c>
      <c r="D164" t="s">
        <v>106</v>
      </c>
      <c r="E164" s="38">
        <v>0</v>
      </c>
    </row>
    <row r="165" spans="1:5" hidden="1" x14ac:dyDescent="0.2">
      <c r="A165">
        <v>2026</v>
      </c>
      <c r="B165">
        <v>8</v>
      </c>
      <c r="C165" t="s">
        <v>122</v>
      </c>
      <c r="D165" t="s">
        <v>107</v>
      </c>
      <c r="E165" s="38">
        <v>31099056.400000002</v>
      </c>
    </row>
    <row r="166" spans="1:5" hidden="1" x14ac:dyDescent="0.2">
      <c r="A166">
        <v>2026</v>
      </c>
      <c r="B166">
        <v>8</v>
      </c>
      <c r="C166" t="s">
        <v>122</v>
      </c>
      <c r="D166" t="s">
        <v>108</v>
      </c>
      <c r="E166" s="38">
        <v>0</v>
      </c>
    </row>
    <row r="167" spans="1:5" hidden="1" x14ac:dyDescent="0.2">
      <c r="A167">
        <v>2026</v>
      </c>
      <c r="B167">
        <v>8</v>
      </c>
      <c r="C167" t="s">
        <v>109</v>
      </c>
      <c r="D167" t="s">
        <v>109</v>
      </c>
      <c r="E167" s="38">
        <v>2547101.23</v>
      </c>
    </row>
    <row r="168" spans="1:5" hidden="1" x14ac:dyDescent="0.2">
      <c r="A168">
        <v>2026</v>
      </c>
      <c r="B168">
        <v>8</v>
      </c>
      <c r="C168" t="s">
        <v>122</v>
      </c>
      <c r="D168" t="s">
        <v>110</v>
      </c>
      <c r="E168" s="38">
        <v>2151224.36</v>
      </c>
    </row>
    <row r="169" spans="1:5" hidden="1" x14ac:dyDescent="0.2">
      <c r="A169">
        <v>2026</v>
      </c>
      <c r="B169">
        <v>8</v>
      </c>
      <c r="C169" t="s">
        <v>111</v>
      </c>
      <c r="D169" t="s">
        <v>111</v>
      </c>
      <c r="E169" s="38">
        <v>116337806.39</v>
      </c>
    </row>
    <row r="170" spans="1:5" hidden="1" x14ac:dyDescent="0.2">
      <c r="A170">
        <v>2026</v>
      </c>
      <c r="B170">
        <v>8</v>
      </c>
      <c r="C170" t="s">
        <v>122</v>
      </c>
      <c r="D170" t="s">
        <v>112</v>
      </c>
      <c r="E170" s="38">
        <v>22391775.720000003</v>
      </c>
    </row>
    <row r="171" spans="1:5" hidden="1" x14ac:dyDescent="0.2">
      <c r="A171">
        <v>2026</v>
      </c>
      <c r="B171">
        <v>8</v>
      </c>
      <c r="C171" t="s">
        <v>122</v>
      </c>
      <c r="D171" t="s">
        <v>113</v>
      </c>
      <c r="E171" s="38">
        <v>5861473.7200000007</v>
      </c>
    </row>
    <row r="172" spans="1:5" hidden="1" x14ac:dyDescent="0.2">
      <c r="A172">
        <v>2026</v>
      </c>
      <c r="B172">
        <v>8</v>
      </c>
      <c r="C172" t="s">
        <v>123</v>
      </c>
      <c r="D172" t="s">
        <v>114</v>
      </c>
      <c r="E172" s="38">
        <v>81840283.140000001</v>
      </c>
    </row>
    <row r="173" spans="1:5" hidden="1" x14ac:dyDescent="0.2">
      <c r="A173">
        <v>2026</v>
      </c>
      <c r="B173">
        <v>8</v>
      </c>
      <c r="C173" t="s">
        <v>123</v>
      </c>
      <c r="D173" t="s">
        <v>42</v>
      </c>
      <c r="E173" s="38">
        <v>117311.6</v>
      </c>
    </row>
    <row r="174" spans="1:5" hidden="1" x14ac:dyDescent="0.2">
      <c r="A174">
        <v>2026</v>
      </c>
      <c r="B174">
        <v>8</v>
      </c>
      <c r="C174" t="s">
        <v>122</v>
      </c>
      <c r="D174" t="s">
        <v>115</v>
      </c>
      <c r="E174" s="38">
        <v>9318718.1300000008</v>
      </c>
    </row>
    <row r="175" spans="1:5" hidden="1" x14ac:dyDescent="0.2">
      <c r="A175">
        <v>2026</v>
      </c>
      <c r="B175">
        <v>8</v>
      </c>
      <c r="C175" t="s">
        <v>122</v>
      </c>
      <c r="D175" t="s">
        <v>116</v>
      </c>
      <c r="E175" s="38">
        <v>747028.6</v>
      </c>
    </row>
    <row r="176" spans="1:5" hidden="1" x14ac:dyDescent="0.2">
      <c r="A176">
        <v>2026</v>
      </c>
      <c r="B176">
        <v>8</v>
      </c>
      <c r="C176" t="s">
        <v>124</v>
      </c>
      <c r="D176" t="s">
        <v>117</v>
      </c>
      <c r="E176" s="38">
        <v>1482068.43</v>
      </c>
    </row>
    <row r="177" spans="1:5" hidden="1" x14ac:dyDescent="0.2">
      <c r="A177">
        <v>2026</v>
      </c>
      <c r="B177">
        <v>8</v>
      </c>
      <c r="C177" t="s">
        <v>124</v>
      </c>
      <c r="D177" t="s">
        <v>118</v>
      </c>
      <c r="E177" s="38">
        <v>7546583.1399999997</v>
      </c>
    </row>
    <row r="178" spans="1:5" hidden="1" x14ac:dyDescent="0.2">
      <c r="A178">
        <v>2026</v>
      </c>
      <c r="B178">
        <v>9</v>
      </c>
      <c r="C178" t="s">
        <v>121</v>
      </c>
      <c r="D178" t="s">
        <v>98</v>
      </c>
      <c r="E178" s="38">
        <v>13352176.139999999</v>
      </c>
    </row>
    <row r="179" spans="1:5" hidden="1" x14ac:dyDescent="0.2">
      <c r="A179">
        <v>2026</v>
      </c>
      <c r="B179">
        <v>9</v>
      </c>
      <c r="C179" t="s">
        <v>122</v>
      </c>
      <c r="D179" t="s">
        <v>99</v>
      </c>
      <c r="E179" s="38">
        <v>7600</v>
      </c>
    </row>
    <row r="180" spans="1:5" hidden="1" x14ac:dyDescent="0.2">
      <c r="A180">
        <v>2026</v>
      </c>
      <c r="B180">
        <v>9</v>
      </c>
      <c r="C180" t="s">
        <v>122</v>
      </c>
      <c r="D180" t="s">
        <v>100</v>
      </c>
      <c r="E180" s="38">
        <v>62000</v>
      </c>
    </row>
    <row r="181" spans="1:5" hidden="1" x14ac:dyDescent="0.2">
      <c r="A181">
        <v>2026</v>
      </c>
      <c r="B181">
        <v>9</v>
      </c>
      <c r="C181" t="s">
        <v>122</v>
      </c>
      <c r="D181" t="s">
        <v>101</v>
      </c>
      <c r="E181" s="38">
        <v>2401984.35</v>
      </c>
    </row>
    <row r="182" spans="1:5" hidden="1" x14ac:dyDescent="0.2">
      <c r="A182">
        <v>2026</v>
      </c>
      <c r="B182">
        <v>9</v>
      </c>
      <c r="C182" t="s">
        <v>122</v>
      </c>
      <c r="D182" t="s">
        <v>102</v>
      </c>
      <c r="E182" s="38">
        <v>5393039.6699999999</v>
      </c>
    </row>
    <row r="183" spans="1:5" hidden="1" x14ac:dyDescent="0.2">
      <c r="A183">
        <v>2026</v>
      </c>
      <c r="B183">
        <v>9</v>
      </c>
      <c r="C183" t="s">
        <v>122</v>
      </c>
      <c r="D183" t="s">
        <v>103</v>
      </c>
      <c r="E183" s="38">
        <v>81804.19</v>
      </c>
    </row>
    <row r="184" spans="1:5" hidden="1" x14ac:dyDescent="0.2">
      <c r="A184">
        <v>2026</v>
      </c>
      <c r="B184">
        <v>9</v>
      </c>
      <c r="C184" t="s">
        <v>122</v>
      </c>
      <c r="D184" t="s">
        <v>104</v>
      </c>
      <c r="E184" s="38">
        <v>401041.65</v>
      </c>
    </row>
    <row r="185" spans="1:5" hidden="1" x14ac:dyDescent="0.2">
      <c r="A185">
        <v>2026</v>
      </c>
      <c r="B185">
        <v>9</v>
      </c>
      <c r="C185" t="s">
        <v>122</v>
      </c>
      <c r="D185" t="s">
        <v>105</v>
      </c>
      <c r="E185" s="38">
        <v>22477407.07</v>
      </c>
    </row>
    <row r="186" spans="1:5" hidden="1" x14ac:dyDescent="0.2">
      <c r="A186">
        <v>2026</v>
      </c>
      <c r="B186">
        <v>9</v>
      </c>
      <c r="C186" t="s">
        <v>122</v>
      </c>
      <c r="D186" t="s">
        <v>106</v>
      </c>
      <c r="E186" s="38">
        <v>0</v>
      </c>
    </row>
    <row r="187" spans="1:5" hidden="1" x14ac:dyDescent="0.2">
      <c r="A187">
        <v>2026</v>
      </c>
      <c r="B187">
        <v>9</v>
      </c>
      <c r="C187" t="s">
        <v>122</v>
      </c>
      <c r="D187" t="s">
        <v>107</v>
      </c>
      <c r="E187" s="38">
        <v>31282275.140000001</v>
      </c>
    </row>
    <row r="188" spans="1:5" hidden="1" x14ac:dyDescent="0.2">
      <c r="A188">
        <v>2026</v>
      </c>
      <c r="B188">
        <v>9</v>
      </c>
      <c r="C188" t="s">
        <v>122</v>
      </c>
      <c r="D188" t="s">
        <v>108</v>
      </c>
      <c r="E188" s="38">
        <v>0</v>
      </c>
    </row>
    <row r="189" spans="1:5" hidden="1" x14ac:dyDescent="0.2">
      <c r="A189">
        <v>2026</v>
      </c>
      <c r="B189">
        <v>9</v>
      </c>
      <c r="C189" t="s">
        <v>109</v>
      </c>
      <c r="D189" t="s">
        <v>109</v>
      </c>
      <c r="E189" s="38">
        <v>48851174.740000002</v>
      </c>
    </row>
    <row r="190" spans="1:5" hidden="1" x14ac:dyDescent="0.2">
      <c r="A190">
        <v>2026</v>
      </c>
      <c r="B190">
        <v>9</v>
      </c>
      <c r="C190" t="s">
        <v>122</v>
      </c>
      <c r="D190" t="s">
        <v>110</v>
      </c>
      <c r="E190" s="38">
        <v>1674619.11</v>
      </c>
    </row>
    <row r="191" spans="1:5" hidden="1" x14ac:dyDescent="0.2">
      <c r="A191">
        <v>2026</v>
      </c>
      <c r="B191">
        <v>9</v>
      </c>
      <c r="C191" t="s">
        <v>111</v>
      </c>
      <c r="D191" t="s">
        <v>111</v>
      </c>
      <c r="E191" s="38">
        <v>131924171.7</v>
      </c>
    </row>
    <row r="192" spans="1:5" hidden="1" x14ac:dyDescent="0.2">
      <c r="A192">
        <v>2026</v>
      </c>
      <c r="B192">
        <v>9</v>
      </c>
      <c r="C192" t="s">
        <v>122</v>
      </c>
      <c r="D192" t="s">
        <v>112</v>
      </c>
      <c r="E192" s="38">
        <v>23087068.609999999</v>
      </c>
    </row>
    <row r="193" spans="1:5" hidden="1" x14ac:dyDescent="0.2">
      <c r="A193">
        <v>2026</v>
      </c>
      <c r="B193">
        <v>9</v>
      </c>
      <c r="C193" t="s">
        <v>122</v>
      </c>
      <c r="D193" t="s">
        <v>113</v>
      </c>
      <c r="E193" s="38">
        <v>6972127.3799999999</v>
      </c>
    </row>
    <row r="194" spans="1:5" hidden="1" x14ac:dyDescent="0.2">
      <c r="A194">
        <v>2026</v>
      </c>
      <c r="B194">
        <v>9</v>
      </c>
      <c r="C194" t="s">
        <v>123</v>
      </c>
      <c r="D194" t="s">
        <v>114</v>
      </c>
      <c r="E194" s="38">
        <v>67498298.719999999</v>
      </c>
    </row>
    <row r="195" spans="1:5" hidden="1" x14ac:dyDescent="0.2">
      <c r="A195">
        <v>2026</v>
      </c>
      <c r="B195">
        <v>9</v>
      </c>
      <c r="C195" t="s">
        <v>123</v>
      </c>
      <c r="D195" t="s">
        <v>42</v>
      </c>
      <c r="E195" s="38">
        <v>493878.3</v>
      </c>
    </row>
    <row r="196" spans="1:5" hidden="1" x14ac:dyDescent="0.2">
      <c r="A196">
        <v>2026</v>
      </c>
      <c r="B196">
        <v>9</v>
      </c>
      <c r="C196" t="s">
        <v>122</v>
      </c>
      <c r="D196" t="s">
        <v>115</v>
      </c>
      <c r="E196" s="38">
        <v>8710896.0999999996</v>
      </c>
    </row>
    <row r="197" spans="1:5" hidden="1" x14ac:dyDescent="0.2">
      <c r="A197">
        <v>2026</v>
      </c>
      <c r="B197">
        <v>9</v>
      </c>
      <c r="C197" t="s">
        <v>122</v>
      </c>
      <c r="D197" t="s">
        <v>116</v>
      </c>
      <c r="E197" s="38">
        <v>710734.8</v>
      </c>
    </row>
    <row r="198" spans="1:5" hidden="1" x14ac:dyDescent="0.2">
      <c r="A198">
        <v>2026</v>
      </c>
      <c r="B198">
        <v>9</v>
      </c>
      <c r="C198" t="s">
        <v>124</v>
      </c>
      <c r="D198" t="s">
        <v>117</v>
      </c>
      <c r="E198" s="38">
        <v>1025000</v>
      </c>
    </row>
    <row r="199" spans="1:5" hidden="1" x14ac:dyDescent="0.2">
      <c r="A199">
        <v>2026</v>
      </c>
      <c r="B199">
        <v>9</v>
      </c>
      <c r="C199" t="s">
        <v>124</v>
      </c>
      <c r="D199" t="s">
        <v>118</v>
      </c>
      <c r="E199" s="38">
        <v>8894726.3699999992</v>
      </c>
    </row>
  </sheetData>
  <autoFilter ref="A1:E199" xr:uid="{3C762B86-80EB-4CEA-A87D-346B9D4EC583}">
    <filterColumn colId="1">
      <filters>
        <filter val="1"/>
        <filter val="2"/>
        <filter val="3"/>
        <filter val="4"/>
        <filter val="5"/>
        <filter val="6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D3A7-4189-4D0C-994B-CC2E3A491FAE}">
  <dimension ref="A1:E265"/>
  <sheetViews>
    <sheetView workbookViewId="0">
      <selection activeCell="E1" sqref="E1:E1048576"/>
    </sheetView>
  </sheetViews>
  <sheetFormatPr defaultRowHeight="14.25" x14ac:dyDescent="0.2"/>
  <cols>
    <col min="3" max="3" width="24.5" bestFit="1" customWidth="1"/>
    <col min="4" max="4" width="56.125" bestFit="1" customWidth="1"/>
    <col min="5" max="5" width="17.375" customWidth="1"/>
  </cols>
  <sheetData>
    <row r="1" spans="1:5" x14ac:dyDescent="0.2">
      <c r="A1" t="s">
        <v>90</v>
      </c>
      <c r="B1" t="s">
        <v>119</v>
      </c>
      <c r="C1" t="s">
        <v>2</v>
      </c>
      <c r="D1" t="s">
        <v>96</v>
      </c>
      <c r="E1" t="s">
        <v>120</v>
      </c>
    </row>
    <row r="2" spans="1:5" x14ac:dyDescent="0.2">
      <c r="A2">
        <v>2026</v>
      </c>
      <c r="B2">
        <v>1</v>
      </c>
      <c r="C2" t="s">
        <v>121</v>
      </c>
      <c r="D2" s="57" t="s">
        <v>98</v>
      </c>
      <c r="E2" s="58">
        <v>26127345.964215577</v>
      </c>
    </row>
    <row r="3" spans="1:5" x14ac:dyDescent="0.2">
      <c r="A3">
        <v>2026</v>
      </c>
      <c r="B3">
        <v>1</v>
      </c>
      <c r="C3" t="s">
        <v>122</v>
      </c>
      <c r="D3" s="57" t="s">
        <v>99</v>
      </c>
      <c r="E3" s="58">
        <v>126052.34400485519</v>
      </c>
    </row>
    <row r="4" spans="1:5" x14ac:dyDescent="0.2">
      <c r="A4">
        <v>2026</v>
      </c>
      <c r="B4">
        <v>1</v>
      </c>
      <c r="C4" t="s">
        <v>122</v>
      </c>
      <c r="D4" s="57" t="s">
        <v>100</v>
      </c>
      <c r="E4" s="58">
        <v>175950.13482832877</v>
      </c>
    </row>
    <row r="5" spans="1:5" x14ac:dyDescent="0.2">
      <c r="A5">
        <v>2026</v>
      </c>
      <c r="B5">
        <v>1</v>
      </c>
      <c r="C5" t="s">
        <v>122</v>
      </c>
      <c r="D5" s="57" t="s">
        <v>101</v>
      </c>
      <c r="E5" s="58">
        <v>2088300.1301495354</v>
      </c>
    </row>
    <row r="6" spans="1:5" x14ac:dyDescent="0.2">
      <c r="A6">
        <v>2026</v>
      </c>
      <c r="B6">
        <v>1</v>
      </c>
      <c r="C6" t="s">
        <v>122</v>
      </c>
      <c r="D6" s="57" t="s">
        <v>102</v>
      </c>
      <c r="E6" s="58">
        <v>2385894.7188816844</v>
      </c>
    </row>
    <row r="7" spans="1:5" x14ac:dyDescent="0.2">
      <c r="A7">
        <v>2026</v>
      </c>
      <c r="B7">
        <v>1</v>
      </c>
      <c r="C7" t="s">
        <v>122</v>
      </c>
      <c r="D7" s="57" t="s">
        <v>103</v>
      </c>
      <c r="E7" s="58">
        <v>261557.98741803743</v>
      </c>
    </row>
    <row r="8" spans="1:5" x14ac:dyDescent="0.2">
      <c r="A8">
        <v>2026</v>
      </c>
      <c r="B8">
        <v>1</v>
      </c>
      <c r="C8" t="s">
        <v>122</v>
      </c>
      <c r="D8" s="57" t="s">
        <v>104</v>
      </c>
      <c r="E8" s="58">
        <v>423956.7535694695</v>
      </c>
    </row>
    <row r="9" spans="1:5" x14ac:dyDescent="0.2">
      <c r="A9">
        <v>2026</v>
      </c>
      <c r="B9">
        <v>1</v>
      </c>
      <c r="C9" t="s">
        <v>122</v>
      </c>
      <c r="D9" s="57" t="s">
        <v>105</v>
      </c>
      <c r="E9" s="58">
        <v>28843370.111756232</v>
      </c>
    </row>
    <row r="10" spans="1:5" x14ac:dyDescent="0.2">
      <c r="A10">
        <v>2026</v>
      </c>
      <c r="B10">
        <v>1</v>
      </c>
      <c r="C10" t="s">
        <v>122</v>
      </c>
      <c r="D10" s="57" t="s">
        <v>106</v>
      </c>
      <c r="E10" s="58">
        <v>76487.61909388825</v>
      </c>
    </row>
    <row r="11" spans="1:5" x14ac:dyDescent="0.2">
      <c r="A11">
        <v>2026</v>
      </c>
      <c r="B11">
        <v>1</v>
      </c>
      <c r="C11" t="s">
        <v>122</v>
      </c>
      <c r="D11" s="57" t="s">
        <v>107</v>
      </c>
      <c r="E11" s="58">
        <v>42165828.252372526</v>
      </c>
    </row>
    <row r="12" spans="1:5" x14ac:dyDescent="0.2">
      <c r="A12">
        <v>2026</v>
      </c>
      <c r="B12">
        <v>1</v>
      </c>
      <c r="C12" t="s">
        <v>122</v>
      </c>
      <c r="D12" s="57" t="s">
        <v>108</v>
      </c>
      <c r="E12" s="58">
        <v>161256.76885409822</v>
      </c>
    </row>
    <row r="13" spans="1:5" x14ac:dyDescent="0.2">
      <c r="A13">
        <v>2026</v>
      </c>
      <c r="B13">
        <v>1</v>
      </c>
      <c r="C13" t="s">
        <v>109</v>
      </c>
      <c r="D13" s="57" t="s">
        <v>109</v>
      </c>
      <c r="E13" s="58">
        <v>23986428.354280185</v>
      </c>
    </row>
    <row r="14" spans="1:5" x14ac:dyDescent="0.2">
      <c r="A14">
        <v>2026</v>
      </c>
      <c r="B14">
        <v>1</v>
      </c>
      <c r="C14" t="s">
        <v>122</v>
      </c>
      <c r="D14" s="57" t="s">
        <v>110</v>
      </c>
      <c r="E14" s="58">
        <v>624681.13277431275</v>
      </c>
    </row>
    <row r="15" spans="1:5" x14ac:dyDescent="0.2">
      <c r="A15">
        <v>2026</v>
      </c>
      <c r="B15">
        <v>1</v>
      </c>
      <c r="C15" t="s">
        <v>111</v>
      </c>
      <c r="D15" s="57" t="s">
        <v>111</v>
      </c>
      <c r="E15" s="58">
        <v>86122992.40769662</v>
      </c>
    </row>
    <row r="16" spans="1:5" x14ac:dyDescent="0.2">
      <c r="A16">
        <v>2026</v>
      </c>
      <c r="B16">
        <v>1</v>
      </c>
      <c r="C16" t="s">
        <v>122</v>
      </c>
      <c r="D16" s="57" t="s">
        <v>112</v>
      </c>
      <c r="E16" s="58">
        <v>27365519.113971416</v>
      </c>
    </row>
    <row r="17" spans="1:5" x14ac:dyDescent="0.2">
      <c r="A17">
        <v>2026</v>
      </c>
      <c r="B17">
        <v>1</v>
      </c>
      <c r="C17" t="s">
        <v>122</v>
      </c>
      <c r="D17" s="57" t="s">
        <v>113</v>
      </c>
      <c r="E17" s="58">
        <v>6638172.8937863214</v>
      </c>
    </row>
    <row r="18" spans="1:5" x14ac:dyDescent="0.2">
      <c r="A18">
        <v>2026</v>
      </c>
      <c r="B18">
        <v>1</v>
      </c>
      <c r="C18" t="s">
        <v>123</v>
      </c>
      <c r="D18" s="57" t="s">
        <v>114</v>
      </c>
      <c r="E18" s="58">
        <v>42471240.63333331</v>
      </c>
    </row>
    <row r="19" spans="1:5" x14ac:dyDescent="0.2">
      <c r="A19">
        <v>2026</v>
      </c>
      <c r="B19">
        <v>1</v>
      </c>
      <c r="C19" t="s">
        <v>123</v>
      </c>
      <c r="D19" s="57" t="s">
        <v>42</v>
      </c>
      <c r="E19" s="59">
        <v>0</v>
      </c>
    </row>
    <row r="20" spans="1:5" x14ac:dyDescent="0.2">
      <c r="A20">
        <v>2026</v>
      </c>
      <c r="B20">
        <v>1</v>
      </c>
      <c r="C20" t="s">
        <v>122</v>
      </c>
      <c r="D20" s="57" t="s">
        <v>115</v>
      </c>
      <c r="E20" s="58">
        <v>10534223.669452721</v>
      </c>
    </row>
    <row r="21" spans="1:5" x14ac:dyDescent="0.2">
      <c r="A21">
        <v>2026</v>
      </c>
      <c r="B21">
        <v>1</v>
      </c>
      <c r="C21" t="s">
        <v>122</v>
      </c>
      <c r="D21" s="57" t="s">
        <v>116</v>
      </c>
      <c r="E21" s="58">
        <v>901161.09736641753</v>
      </c>
    </row>
    <row r="22" spans="1:5" x14ac:dyDescent="0.2">
      <c r="A22">
        <v>2026</v>
      </c>
      <c r="B22">
        <v>1</v>
      </c>
      <c r="C22" t="s">
        <v>124</v>
      </c>
      <c r="D22" s="57" t="s">
        <v>117</v>
      </c>
      <c r="E22" s="58">
        <v>1255978.0586868818</v>
      </c>
    </row>
    <row r="23" spans="1:5" x14ac:dyDescent="0.2">
      <c r="A23">
        <v>2026</v>
      </c>
      <c r="B23">
        <v>1</v>
      </c>
      <c r="C23" t="s">
        <v>124</v>
      </c>
      <c r="D23" s="57" t="s">
        <v>118</v>
      </c>
      <c r="E23" s="58">
        <v>14880606.958364161</v>
      </c>
    </row>
    <row r="24" spans="1:5" x14ac:dyDescent="0.2">
      <c r="A24">
        <v>2026</v>
      </c>
      <c r="B24">
        <v>2</v>
      </c>
      <c r="C24" t="s">
        <v>121</v>
      </c>
      <c r="D24" s="57" t="s">
        <v>98</v>
      </c>
      <c r="E24">
        <v>28155892.832638022</v>
      </c>
    </row>
    <row r="25" spans="1:5" x14ac:dyDescent="0.2">
      <c r="A25">
        <v>2026</v>
      </c>
      <c r="B25">
        <v>2</v>
      </c>
      <c r="C25" t="s">
        <v>122</v>
      </c>
      <c r="D25" s="57" t="s">
        <v>99</v>
      </c>
      <c r="E25">
        <v>171091.83325938112</v>
      </c>
    </row>
    <row r="26" spans="1:5" x14ac:dyDescent="0.2">
      <c r="A26">
        <v>2026</v>
      </c>
      <c r="B26">
        <v>2</v>
      </c>
      <c r="C26" t="s">
        <v>122</v>
      </c>
      <c r="D26" s="57" t="s">
        <v>100</v>
      </c>
      <c r="E26">
        <v>112935.54194917259</v>
      </c>
    </row>
    <row r="27" spans="1:5" x14ac:dyDescent="0.2">
      <c r="A27">
        <v>2026</v>
      </c>
      <c r="B27">
        <v>2</v>
      </c>
      <c r="C27" t="s">
        <v>122</v>
      </c>
      <c r="D27" s="57" t="s">
        <v>101</v>
      </c>
      <c r="E27">
        <v>2228161.5936338687</v>
      </c>
    </row>
    <row r="28" spans="1:5" x14ac:dyDescent="0.2">
      <c r="A28">
        <v>2026</v>
      </c>
      <c r="B28">
        <v>2</v>
      </c>
      <c r="C28" t="s">
        <v>122</v>
      </c>
      <c r="D28" s="57" t="s">
        <v>102</v>
      </c>
      <c r="E28">
        <v>2177700.2928445637</v>
      </c>
    </row>
    <row r="29" spans="1:5" x14ac:dyDescent="0.2">
      <c r="A29">
        <v>2026</v>
      </c>
      <c r="B29">
        <v>2</v>
      </c>
      <c r="C29" t="s">
        <v>122</v>
      </c>
      <c r="D29" s="57" t="s">
        <v>103</v>
      </c>
      <c r="E29">
        <v>70085.35939135986</v>
      </c>
    </row>
    <row r="30" spans="1:5" x14ac:dyDescent="0.2">
      <c r="A30">
        <v>2026</v>
      </c>
      <c r="B30">
        <v>2</v>
      </c>
      <c r="C30" t="s">
        <v>122</v>
      </c>
      <c r="D30" s="57" t="s">
        <v>104</v>
      </c>
      <c r="E30">
        <v>323291.52943921922</v>
      </c>
    </row>
    <row r="31" spans="1:5" x14ac:dyDescent="0.2">
      <c r="A31">
        <v>2026</v>
      </c>
      <c r="B31">
        <v>2</v>
      </c>
      <c r="C31" t="s">
        <v>122</v>
      </c>
      <c r="D31" s="57" t="s">
        <v>105</v>
      </c>
      <c r="E31">
        <v>28922081.132561807</v>
      </c>
    </row>
    <row r="32" spans="1:5" x14ac:dyDescent="0.2">
      <c r="A32">
        <v>2026</v>
      </c>
      <c r="B32">
        <v>2</v>
      </c>
      <c r="C32" t="s">
        <v>122</v>
      </c>
      <c r="D32" s="57" t="s">
        <v>106</v>
      </c>
      <c r="E32">
        <v>83139.757648868777</v>
      </c>
    </row>
    <row r="33" spans="1:5" x14ac:dyDescent="0.2">
      <c r="A33">
        <v>2026</v>
      </c>
      <c r="B33">
        <v>2</v>
      </c>
      <c r="C33" t="s">
        <v>122</v>
      </c>
      <c r="D33" s="57" t="s">
        <v>107</v>
      </c>
      <c r="E33">
        <v>33460013.582498442</v>
      </c>
    </row>
    <row r="34" spans="1:5" x14ac:dyDescent="0.2">
      <c r="A34">
        <v>2026</v>
      </c>
      <c r="B34">
        <v>2</v>
      </c>
      <c r="C34" t="s">
        <v>122</v>
      </c>
      <c r="D34" s="57" t="s">
        <v>108</v>
      </c>
      <c r="E34">
        <v>1805.2266394047156</v>
      </c>
    </row>
    <row r="35" spans="1:5" x14ac:dyDescent="0.2">
      <c r="A35">
        <v>2026</v>
      </c>
      <c r="B35">
        <v>2</v>
      </c>
      <c r="C35" t="s">
        <v>109</v>
      </c>
      <c r="D35" s="57" t="s">
        <v>109</v>
      </c>
      <c r="E35">
        <v>4976778.5742775612</v>
      </c>
    </row>
    <row r="36" spans="1:5" x14ac:dyDescent="0.2">
      <c r="A36">
        <v>2026</v>
      </c>
      <c r="B36">
        <v>2</v>
      </c>
      <c r="C36" t="s">
        <v>122</v>
      </c>
      <c r="D36" s="57" t="s">
        <v>110</v>
      </c>
      <c r="E36">
        <v>517830.25733183755</v>
      </c>
    </row>
    <row r="37" spans="1:5" x14ac:dyDescent="0.2">
      <c r="A37">
        <v>2026</v>
      </c>
      <c r="B37">
        <v>2</v>
      </c>
      <c r="C37" t="s">
        <v>111</v>
      </c>
      <c r="D37" s="57" t="s">
        <v>111</v>
      </c>
      <c r="E37">
        <v>90682756.161915049</v>
      </c>
    </row>
    <row r="38" spans="1:5" x14ac:dyDescent="0.2">
      <c r="A38">
        <v>2026</v>
      </c>
      <c r="B38">
        <v>2</v>
      </c>
      <c r="C38" t="s">
        <v>122</v>
      </c>
      <c r="D38" s="57" t="s">
        <v>112</v>
      </c>
      <c r="E38">
        <v>21317976.94457797</v>
      </c>
    </row>
    <row r="39" spans="1:5" x14ac:dyDescent="0.2">
      <c r="A39">
        <v>2026</v>
      </c>
      <c r="B39">
        <v>2</v>
      </c>
      <c r="C39" t="s">
        <v>122</v>
      </c>
      <c r="D39" s="57" t="s">
        <v>113</v>
      </c>
      <c r="E39">
        <v>7257757.0799611192</v>
      </c>
    </row>
    <row r="40" spans="1:5" x14ac:dyDescent="0.2">
      <c r="A40">
        <v>2026</v>
      </c>
      <c r="B40">
        <v>2</v>
      </c>
      <c r="C40" t="s">
        <v>123</v>
      </c>
      <c r="D40" s="57" t="s">
        <v>114</v>
      </c>
      <c r="E40">
        <v>44157781.763333313</v>
      </c>
    </row>
    <row r="41" spans="1:5" x14ac:dyDescent="0.2">
      <c r="A41">
        <v>2026</v>
      </c>
      <c r="B41">
        <v>2</v>
      </c>
      <c r="C41" t="s">
        <v>123</v>
      </c>
      <c r="D41" s="57" t="s">
        <v>42</v>
      </c>
      <c r="E41">
        <v>0</v>
      </c>
    </row>
    <row r="42" spans="1:5" x14ac:dyDescent="0.2">
      <c r="A42">
        <v>2026</v>
      </c>
      <c r="B42">
        <v>2</v>
      </c>
      <c r="C42" t="s">
        <v>122</v>
      </c>
      <c r="D42" s="57" t="s">
        <v>115</v>
      </c>
      <c r="E42">
        <v>7773178.8758178558</v>
      </c>
    </row>
    <row r="43" spans="1:5" x14ac:dyDescent="0.2">
      <c r="A43">
        <v>2026</v>
      </c>
      <c r="B43">
        <v>2</v>
      </c>
      <c r="C43" t="s">
        <v>122</v>
      </c>
      <c r="D43" s="57" t="s">
        <v>116</v>
      </c>
      <c r="E43">
        <v>801078.15178090159</v>
      </c>
    </row>
    <row r="44" spans="1:5" x14ac:dyDescent="0.2">
      <c r="A44">
        <v>2026</v>
      </c>
      <c r="B44">
        <v>2</v>
      </c>
      <c r="C44" t="s">
        <v>124</v>
      </c>
      <c r="D44" s="57" t="s">
        <v>117</v>
      </c>
      <c r="E44">
        <v>1080054.2896341162</v>
      </c>
    </row>
    <row r="45" spans="1:5" x14ac:dyDescent="0.2">
      <c r="A45">
        <v>2026</v>
      </c>
      <c r="B45">
        <v>2</v>
      </c>
      <c r="C45" t="s">
        <v>124</v>
      </c>
      <c r="D45" s="57" t="s">
        <v>118</v>
      </c>
      <c r="E45">
        <v>9371270.9513876345</v>
      </c>
    </row>
    <row r="46" spans="1:5" x14ac:dyDescent="0.2">
      <c r="A46">
        <v>2026</v>
      </c>
      <c r="B46">
        <v>3</v>
      </c>
      <c r="C46" t="s">
        <v>121</v>
      </c>
      <c r="D46" s="57" t="s">
        <v>98</v>
      </c>
      <c r="E46">
        <v>28328810.371588368</v>
      </c>
    </row>
    <row r="47" spans="1:5" x14ac:dyDescent="0.2">
      <c r="A47">
        <v>2026</v>
      </c>
      <c r="B47">
        <v>3</v>
      </c>
      <c r="C47" t="s">
        <v>122</v>
      </c>
      <c r="D47" s="57" t="s">
        <v>99</v>
      </c>
      <c r="E47">
        <v>432064.81391406507</v>
      </c>
    </row>
    <row r="48" spans="1:5" x14ac:dyDescent="0.2">
      <c r="A48">
        <v>2026</v>
      </c>
      <c r="B48">
        <v>3</v>
      </c>
      <c r="C48" t="s">
        <v>122</v>
      </c>
      <c r="D48" s="57" t="s">
        <v>100</v>
      </c>
      <c r="E48">
        <v>18571.496834126887</v>
      </c>
    </row>
    <row r="49" spans="1:5" x14ac:dyDescent="0.2">
      <c r="A49">
        <v>2026</v>
      </c>
      <c r="B49">
        <v>3</v>
      </c>
      <c r="C49" t="s">
        <v>122</v>
      </c>
      <c r="D49" s="57" t="s">
        <v>101</v>
      </c>
      <c r="E49">
        <v>1896738.5805423593</v>
      </c>
    </row>
    <row r="50" spans="1:5" x14ac:dyDescent="0.2">
      <c r="A50">
        <v>2026</v>
      </c>
      <c r="B50">
        <v>3</v>
      </c>
      <c r="C50" t="s">
        <v>122</v>
      </c>
      <c r="D50" s="57" t="s">
        <v>102</v>
      </c>
      <c r="E50">
        <v>2307042.7431715154</v>
      </c>
    </row>
    <row r="51" spans="1:5" x14ac:dyDescent="0.2">
      <c r="A51">
        <v>2026</v>
      </c>
      <c r="B51">
        <v>3</v>
      </c>
      <c r="C51" t="s">
        <v>122</v>
      </c>
      <c r="D51" s="57" t="s">
        <v>103</v>
      </c>
      <c r="E51">
        <v>104189.53231530768</v>
      </c>
    </row>
    <row r="52" spans="1:5" x14ac:dyDescent="0.2">
      <c r="A52">
        <v>2026</v>
      </c>
      <c r="B52">
        <v>3</v>
      </c>
      <c r="C52" t="s">
        <v>122</v>
      </c>
      <c r="D52" s="57" t="s">
        <v>104</v>
      </c>
      <c r="E52">
        <v>361145.21866673272</v>
      </c>
    </row>
    <row r="53" spans="1:5" x14ac:dyDescent="0.2">
      <c r="A53">
        <v>2026</v>
      </c>
      <c r="B53">
        <v>3</v>
      </c>
      <c r="C53" t="s">
        <v>122</v>
      </c>
      <c r="D53" s="57" t="s">
        <v>105</v>
      </c>
      <c r="E53">
        <v>31785509.426163301</v>
      </c>
    </row>
    <row r="54" spans="1:5" x14ac:dyDescent="0.2">
      <c r="A54">
        <v>2026</v>
      </c>
      <c r="B54">
        <v>3</v>
      </c>
      <c r="C54" t="s">
        <v>122</v>
      </c>
      <c r="D54" s="57" t="s">
        <v>106</v>
      </c>
      <c r="E54">
        <v>77601.759545400084</v>
      </c>
    </row>
    <row r="55" spans="1:5" x14ac:dyDescent="0.2">
      <c r="A55">
        <v>2026</v>
      </c>
      <c r="B55">
        <v>3</v>
      </c>
      <c r="C55" t="s">
        <v>122</v>
      </c>
      <c r="D55" s="57" t="s">
        <v>107</v>
      </c>
      <c r="E55">
        <v>28049697.573761009</v>
      </c>
    </row>
    <row r="56" spans="1:5" x14ac:dyDescent="0.2">
      <c r="A56">
        <v>2026</v>
      </c>
      <c r="B56">
        <v>3</v>
      </c>
      <c r="C56" t="s">
        <v>122</v>
      </c>
      <c r="D56" s="57" t="s">
        <v>108</v>
      </c>
      <c r="E56">
        <v>53313.429877536051</v>
      </c>
    </row>
    <row r="57" spans="1:5" x14ac:dyDescent="0.2">
      <c r="A57">
        <v>2026</v>
      </c>
      <c r="B57">
        <v>3</v>
      </c>
      <c r="C57" t="s">
        <v>109</v>
      </c>
      <c r="D57" s="57" t="s">
        <v>109</v>
      </c>
      <c r="E57">
        <v>3770625.0414823666</v>
      </c>
    </row>
    <row r="58" spans="1:5" x14ac:dyDescent="0.2">
      <c r="A58">
        <v>2026</v>
      </c>
      <c r="B58">
        <v>3</v>
      </c>
      <c r="C58" t="s">
        <v>122</v>
      </c>
      <c r="D58" s="57" t="s">
        <v>110</v>
      </c>
      <c r="E58">
        <v>288192.94213008281</v>
      </c>
    </row>
    <row r="59" spans="1:5" x14ac:dyDescent="0.2">
      <c r="A59">
        <v>2026</v>
      </c>
      <c r="B59">
        <v>3</v>
      </c>
      <c r="C59" t="s">
        <v>111</v>
      </c>
      <c r="D59" s="57" t="s">
        <v>111</v>
      </c>
      <c r="E59">
        <v>88078166.476460829</v>
      </c>
    </row>
    <row r="60" spans="1:5" x14ac:dyDescent="0.2">
      <c r="A60">
        <v>2026</v>
      </c>
      <c r="B60">
        <v>3</v>
      </c>
      <c r="C60" t="s">
        <v>122</v>
      </c>
      <c r="D60" s="57" t="s">
        <v>112</v>
      </c>
      <c r="E60">
        <v>18334037.495401073</v>
      </c>
    </row>
    <row r="61" spans="1:5" x14ac:dyDescent="0.2">
      <c r="A61">
        <v>2026</v>
      </c>
      <c r="B61">
        <v>3</v>
      </c>
      <c r="C61" t="s">
        <v>122</v>
      </c>
      <c r="D61" s="57" t="s">
        <v>113</v>
      </c>
      <c r="E61">
        <v>5297322.7581204176</v>
      </c>
    </row>
    <row r="62" spans="1:5" x14ac:dyDescent="0.2">
      <c r="A62">
        <v>2026</v>
      </c>
      <c r="B62">
        <v>3</v>
      </c>
      <c r="C62" t="s">
        <v>123</v>
      </c>
      <c r="D62" s="57" t="s">
        <v>114</v>
      </c>
      <c r="E62">
        <v>48614805.894145921</v>
      </c>
    </row>
    <row r="63" spans="1:5" x14ac:dyDescent="0.2">
      <c r="A63">
        <v>2026</v>
      </c>
      <c r="B63">
        <v>3</v>
      </c>
      <c r="C63" t="s">
        <v>123</v>
      </c>
      <c r="D63" s="57" t="s">
        <v>42</v>
      </c>
      <c r="E63">
        <v>120402.47918739145</v>
      </c>
    </row>
    <row r="64" spans="1:5" x14ac:dyDescent="0.2">
      <c r="A64">
        <v>2026</v>
      </c>
      <c r="B64">
        <v>3</v>
      </c>
      <c r="C64" t="s">
        <v>122</v>
      </c>
      <c r="D64" s="57" t="s">
        <v>115</v>
      </c>
      <c r="E64">
        <v>6742210.1787747871</v>
      </c>
    </row>
    <row r="65" spans="1:5" x14ac:dyDescent="0.2">
      <c r="A65">
        <v>2026</v>
      </c>
      <c r="B65">
        <v>3</v>
      </c>
      <c r="C65" t="s">
        <v>122</v>
      </c>
      <c r="D65" s="57" t="s">
        <v>116</v>
      </c>
      <c r="E65">
        <v>737124.69569109345</v>
      </c>
    </row>
    <row r="66" spans="1:5" x14ac:dyDescent="0.2">
      <c r="A66">
        <v>2026</v>
      </c>
      <c r="B66">
        <v>3</v>
      </c>
      <c r="C66" t="s">
        <v>124</v>
      </c>
      <c r="D66" s="57" t="s">
        <v>117</v>
      </c>
      <c r="E66">
        <v>1639385.5957355343</v>
      </c>
    </row>
    <row r="67" spans="1:5" x14ac:dyDescent="0.2">
      <c r="A67">
        <v>2026</v>
      </c>
      <c r="B67">
        <v>3</v>
      </c>
      <c r="C67" t="s">
        <v>124</v>
      </c>
      <c r="D67" s="57" t="s">
        <v>118</v>
      </c>
      <c r="E67">
        <v>8518801.0941048842</v>
      </c>
    </row>
    <row r="68" spans="1:5" x14ac:dyDescent="0.2">
      <c r="A68">
        <v>2026</v>
      </c>
      <c r="B68">
        <v>4</v>
      </c>
      <c r="C68" t="s">
        <v>121</v>
      </c>
      <c r="D68" s="57" t="s">
        <v>98</v>
      </c>
      <c r="E68" s="58">
        <v>18365539.57444391</v>
      </c>
    </row>
    <row r="69" spans="1:5" x14ac:dyDescent="0.2">
      <c r="A69">
        <v>2026</v>
      </c>
      <c r="B69">
        <v>4</v>
      </c>
      <c r="C69" t="s">
        <v>122</v>
      </c>
      <c r="D69" s="57" t="s">
        <v>99</v>
      </c>
      <c r="E69" s="58">
        <v>313510.54945348768</v>
      </c>
    </row>
    <row r="70" spans="1:5" x14ac:dyDescent="0.2">
      <c r="A70">
        <v>2026</v>
      </c>
      <c r="B70">
        <v>4</v>
      </c>
      <c r="C70" t="s">
        <v>122</v>
      </c>
      <c r="D70" s="57" t="s">
        <v>100</v>
      </c>
      <c r="E70" s="58">
        <v>81249.150248582519</v>
      </c>
    </row>
    <row r="71" spans="1:5" x14ac:dyDescent="0.2">
      <c r="A71">
        <v>2026</v>
      </c>
      <c r="B71">
        <v>4</v>
      </c>
      <c r="C71" t="s">
        <v>122</v>
      </c>
      <c r="D71" s="57" t="s">
        <v>101</v>
      </c>
      <c r="E71" s="58">
        <v>1783514.6798107885</v>
      </c>
    </row>
    <row r="72" spans="1:5" x14ac:dyDescent="0.2">
      <c r="A72">
        <v>2026</v>
      </c>
      <c r="B72">
        <v>4</v>
      </c>
      <c r="C72" t="s">
        <v>122</v>
      </c>
      <c r="D72" s="57" t="s">
        <v>102</v>
      </c>
      <c r="E72" s="58">
        <v>1556122.7502614497</v>
      </c>
    </row>
    <row r="73" spans="1:5" x14ac:dyDescent="0.2">
      <c r="A73">
        <v>2026</v>
      </c>
      <c r="B73">
        <v>4</v>
      </c>
      <c r="C73" t="s">
        <v>122</v>
      </c>
      <c r="D73" s="57" t="s">
        <v>103</v>
      </c>
      <c r="E73" s="58">
        <v>37591.217566388354</v>
      </c>
    </row>
    <row r="74" spans="1:5" x14ac:dyDescent="0.2">
      <c r="A74">
        <v>2026</v>
      </c>
      <c r="B74">
        <v>4</v>
      </c>
      <c r="C74" t="s">
        <v>122</v>
      </c>
      <c r="D74" s="57" t="s">
        <v>104</v>
      </c>
      <c r="E74" s="58">
        <v>277769.42125918029</v>
      </c>
    </row>
    <row r="75" spans="1:5" x14ac:dyDescent="0.2">
      <c r="A75">
        <v>2026</v>
      </c>
      <c r="B75">
        <v>4</v>
      </c>
      <c r="C75" t="s">
        <v>122</v>
      </c>
      <c r="D75" s="57" t="s">
        <v>105</v>
      </c>
      <c r="E75" s="58">
        <v>22645851.349273238</v>
      </c>
    </row>
    <row r="76" spans="1:5" x14ac:dyDescent="0.2">
      <c r="A76">
        <v>2026</v>
      </c>
      <c r="B76">
        <v>4</v>
      </c>
      <c r="C76" t="s">
        <v>122</v>
      </c>
      <c r="D76" s="57" t="s">
        <v>106</v>
      </c>
      <c r="E76" s="58">
        <v>97638.043063049234</v>
      </c>
    </row>
    <row r="77" spans="1:5" x14ac:dyDescent="0.2">
      <c r="A77">
        <v>2026</v>
      </c>
      <c r="B77">
        <v>4</v>
      </c>
      <c r="C77" t="s">
        <v>122</v>
      </c>
      <c r="D77" s="57" t="s">
        <v>107</v>
      </c>
      <c r="E77" s="58">
        <v>18923891.349929959</v>
      </c>
    </row>
    <row r="78" spans="1:5" x14ac:dyDescent="0.2">
      <c r="A78">
        <v>2026</v>
      </c>
      <c r="B78">
        <v>4</v>
      </c>
      <c r="C78" t="s">
        <v>122</v>
      </c>
      <c r="D78" s="57" t="s">
        <v>108</v>
      </c>
      <c r="E78" s="58">
        <v>18432.780574968248</v>
      </c>
    </row>
    <row r="79" spans="1:5" x14ac:dyDescent="0.2">
      <c r="A79">
        <v>2026</v>
      </c>
      <c r="B79">
        <v>4</v>
      </c>
      <c r="C79" t="s">
        <v>109</v>
      </c>
      <c r="D79" s="57" t="s">
        <v>109</v>
      </c>
      <c r="E79" s="58">
        <v>9620947.6398488395</v>
      </c>
    </row>
    <row r="80" spans="1:5" x14ac:dyDescent="0.2">
      <c r="A80">
        <v>2026</v>
      </c>
      <c r="B80">
        <v>4</v>
      </c>
      <c r="C80" t="s">
        <v>122</v>
      </c>
      <c r="D80" s="57" t="s">
        <v>110</v>
      </c>
      <c r="E80" s="58">
        <v>473704.53829962917</v>
      </c>
    </row>
    <row r="81" spans="1:5" x14ac:dyDescent="0.2">
      <c r="A81">
        <v>2026</v>
      </c>
      <c r="B81">
        <v>4</v>
      </c>
      <c r="C81" t="s">
        <v>111</v>
      </c>
      <c r="D81" s="57" t="s">
        <v>111</v>
      </c>
      <c r="E81" s="58">
        <v>76969310.034084201</v>
      </c>
    </row>
    <row r="82" spans="1:5" x14ac:dyDescent="0.2">
      <c r="A82">
        <v>2026</v>
      </c>
      <c r="B82">
        <v>4</v>
      </c>
      <c r="C82" t="s">
        <v>122</v>
      </c>
      <c r="D82" s="57" t="s">
        <v>112</v>
      </c>
      <c r="E82" s="58">
        <v>12959043.293453017</v>
      </c>
    </row>
    <row r="83" spans="1:5" x14ac:dyDescent="0.2">
      <c r="A83">
        <v>2026</v>
      </c>
      <c r="B83">
        <v>4</v>
      </c>
      <c r="C83" t="s">
        <v>122</v>
      </c>
      <c r="D83" s="57" t="s">
        <v>113</v>
      </c>
      <c r="E83" s="58">
        <v>4280282.2994423294</v>
      </c>
    </row>
    <row r="84" spans="1:5" x14ac:dyDescent="0.2">
      <c r="A84">
        <v>2026</v>
      </c>
      <c r="B84">
        <v>4</v>
      </c>
      <c r="C84" t="s">
        <v>123</v>
      </c>
      <c r="D84" s="57" t="s">
        <v>114</v>
      </c>
      <c r="E84" s="58">
        <v>501220772.55666673</v>
      </c>
    </row>
    <row r="85" spans="1:5" x14ac:dyDescent="0.2">
      <c r="A85">
        <v>2026</v>
      </c>
      <c r="B85">
        <v>4</v>
      </c>
      <c r="C85" t="s">
        <v>123</v>
      </c>
      <c r="D85" s="57" t="s">
        <v>42</v>
      </c>
      <c r="E85" s="59">
        <v>0</v>
      </c>
    </row>
    <row r="86" spans="1:5" x14ac:dyDescent="0.2">
      <c r="A86">
        <v>2026</v>
      </c>
      <c r="B86">
        <v>4</v>
      </c>
      <c r="C86" t="s">
        <v>122</v>
      </c>
      <c r="D86" s="57" t="s">
        <v>115</v>
      </c>
      <c r="E86" s="58">
        <v>4741821.138389688</v>
      </c>
    </row>
    <row r="87" spans="1:5" x14ac:dyDescent="0.2">
      <c r="A87">
        <v>2026</v>
      </c>
      <c r="B87">
        <v>4</v>
      </c>
      <c r="C87" t="s">
        <v>122</v>
      </c>
      <c r="D87" s="57" t="s">
        <v>116</v>
      </c>
      <c r="E87" s="58">
        <v>596370.95857021469</v>
      </c>
    </row>
    <row r="88" spans="1:5" x14ac:dyDescent="0.2">
      <c r="A88">
        <v>2026</v>
      </c>
      <c r="B88">
        <v>4</v>
      </c>
      <c r="C88" t="s">
        <v>124</v>
      </c>
      <c r="D88" s="57" t="s">
        <v>117</v>
      </c>
      <c r="E88" s="58">
        <v>1284296.9630074666</v>
      </c>
    </row>
    <row r="89" spans="1:5" x14ac:dyDescent="0.2">
      <c r="A89">
        <v>2026</v>
      </c>
      <c r="B89">
        <v>4</v>
      </c>
      <c r="C89" t="s">
        <v>124</v>
      </c>
      <c r="D89" s="57" t="s">
        <v>118</v>
      </c>
      <c r="E89" s="58">
        <v>8793399.2345014866</v>
      </c>
    </row>
    <row r="90" spans="1:5" x14ac:dyDescent="0.2">
      <c r="A90">
        <v>2026</v>
      </c>
      <c r="B90">
        <v>5</v>
      </c>
      <c r="C90" t="s">
        <v>121</v>
      </c>
      <c r="D90" s="57" t="s">
        <v>98</v>
      </c>
      <c r="E90">
        <v>16664524.228686033</v>
      </c>
    </row>
    <row r="91" spans="1:5" x14ac:dyDescent="0.2">
      <c r="A91">
        <v>2026</v>
      </c>
      <c r="B91">
        <v>5</v>
      </c>
      <c r="C91" t="s">
        <v>122</v>
      </c>
      <c r="D91" s="57" t="s">
        <v>99</v>
      </c>
      <c r="E91">
        <v>1078659.868738397</v>
      </c>
    </row>
    <row r="92" spans="1:5" x14ac:dyDescent="0.2">
      <c r="A92">
        <v>2026</v>
      </c>
      <c r="B92">
        <v>5</v>
      </c>
      <c r="C92" t="s">
        <v>122</v>
      </c>
      <c r="D92" s="57" t="s">
        <v>100</v>
      </c>
      <c r="E92">
        <v>129223.22026863176</v>
      </c>
    </row>
    <row r="93" spans="1:5" x14ac:dyDescent="0.2">
      <c r="A93">
        <v>2026</v>
      </c>
      <c r="B93">
        <v>5</v>
      </c>
      <c r="C93" t="s">
        <v>122</v>
      </c>
      <c r="D93" s="57" t="s">
        <v>101</v>
      </c>
      <c r="E93">
        <v>2185548.4079843648</v>
      </c>
    </row>
    <row r="94" spans="1:5" x14ac:dyDescent="0.2">
      <c r="A94">
        <v>2026</v>
      </c>
      <c r="B94">
        <v>5</v>
      </c>
      <c r="C94" t="s">
        <v>122</v>
      </c>
      <c r="D94" s="57" t="s">
        <v>102</v>
      </c>
      <c r="E94">
        <v>1771282.4685653951</v>
      </c>
    </row>
    <row r="95" spans="1:5" x14ac:dyDescent="0.2">
      <c r="A95">
        <v>2026</v>
      </c>
      <c r="B95">
        <v>5</v>
      </c>
      <c r="C95" t="s">
        <v>122</v>
      </c>
      <c r="D95" s="57" t="s">
        <v>103</v>
      </c>
      <c r="E95">
        <v>85944.197090187547</v>
      </c>
    </row>
    <row r="96" spans="1:5" x14ac:dyDescent="0.2">
      <c r="A96">
        <v>2026</v>
      </c>
      <c r="B96">
        <v>5</v>
      </c>
      <c r="C96" t="s">
        <v>122</v>
      </c>
      <c r="D96" s="57" t="s">
        <v>104</v>
      </c>
      <c r="E96">
        <v>408740.97005823936</v>
      </c>
    </row>
    <row r="97" spans="1:5" x14ac:dyDescent="0.2">
      <c r="A97">
        <v>2026</v>
      </c>
      <c r="B97">
        <v>5</v>
      </c>
      <c r="C97" t="s">
        <v>122</v>
      </c>
      <c r="D97" s="57" t="s">
        <v>105</v>
      </c>
      <c r="E97">
        <v>29925571.93205303</v>
      </c>
    </row>
    <row r="98" spans="1:5" x14ac:dyDescent="0.2">
      <c r="A98">
        <v>2026</v>
      </c>
      <c r="B98">
        <v>5</v>
      </c>
      <c r="C98" t="s">
        <v>122</v>
      </c>
      <c r="D98" s="57" t="s">
        <v>106</v>
      </c>
      <c r="E98">
        <v>54964.456886134423</v>
      </c>
    </row>
    <row r="99" spans="1:5" x14ac:dyDescent="0.2">
      <c r="A99">
        <v>2026</v>
      </c>
      <c r="B99">
        <v>5</v>
      </c>
      <c r="C99" t="s">
        <v>122</v>
      </c>
      <c r="D99" s="57" t="s">
        <v>107</v>
      </c>
      <c r="E99">
        <v>37182160.129627094</v>
      </c>
    </row>
    <row r="100" spans="1:5" x14ac:dyDescent="0.2">
      <c r="A100">
        <v>2026</v>
      </c>
      <c r="B100">
        <v>5</v>
      </c>
      <c r="C100" t="s">
        <v>122</v>
      </c>
      <c r="D100" s="57" t="s">
        <v>108</v>
      </c>
      <c r="E100">
        <v>2422.5888900366754</v>
      </c>
    </row>
    <row r="101" spans="1:5" x14ac:dyDescent="0.2">
      <c r="A101">
        <v>2026</v>
      </c>
      <c r="B101">
        <v>5</v>
      </c>
      <c r="C101" t="s">
        <v>109</v>
      </c>
      <c r="D101" s="57" t="s">
        <v>109</v>
      </c>
      <c r="E101">
        <v>5123282.3134097494</v>
      </c>
    </row>
    <row r="102" spans="1:5" x14ac:dyDescent="0.2">
      <c r="A102">
        <v>2026</v>
      </c>
      <c r="B102">
        <v>5</v>
      </c>
      <c r="C102" t="s">
        <v>122</v>
      </c>
      <c r="D102" s="57" t="s">
        <v>110</v>
      </c>
      <c r="E102">
        <v>748366.6411790069</v>
      </c>
    </row>
    <row r="103" spans="1:5" x14ac:dyDescent="0.2">
      <c r="A103">
        <v>2026</v>
      </c>
      <c r="B103">
        <v>5</v>
      </c>
      <c r="C103" t="s">
        <v>111</v>
      </c>
      <c r="D103" s="57" t="s">
        <v>111</v>
      </c>
      <c r="E103">
        <v>90174681.622210696</v>
      </c>
    </row>
    <row r="104" spans="1:5" x14ac:dyDescent="0.2">
      <c r="A104">
        <v>2026</v>
      </c>
      <c r="B104">
        <v>5</v>
      </c>
      <c r="C104" t="s">
        <v>122</v>
      </c>
      <c r="D104" s="57" t="s">
        <v>112</v>
      </c>
      <c r="E104">
        <v>21609464.194560289</v>
      </c>
    </row>
    <row r="105" spans="1:5" x14ac:dyDescent="0.2">
      <c r="A105">
        <v>2026</v>
      </c>
      <c r="B105">
        <v>5</v>
      </c>
      <c r="C105" t="s">
        <v>122</v>
      </c>
      <c r="D105" s="57" t="s">
        <v>113</v>
      </c>
      <c r="E105">
        <v>31783048.083704665</v>
      </c>
    </row>
    <row r="106" spans="1:5" x14ac:dyDescent="0.2">
      <c r="A106">
        <v>2026</v>
      </c>
      <c r="B106">
        <v>5</v>
      </c>
      <c r="C106" t="s">
        <v>123</v>
      </c>
      <c r="D106" s="57" t="s">
        <v>114</v>
      </c>
      <c r="E106">
        <v>95122543.696666658</v>
      </c>
    </row>
    <row r="107" spans="1:5" x14ac:dyDescent="0.2">
      <c r="A107">
        <v>2026</v>
      </c>
      <c r="B107">
        <v>5</v>
      </c>
      <c r="C107" t="s">
        <v>123</v>
      </c>
      <c r="D107" s="57" t="s">
        <v>42</v>
      </c>
      <c r="E107">
        <v>0</v>
      </c>
    </row>
    <row r="108" spans="1:5" x14ac:dyDescent="0.2">
      <c r="A108">
        <v>2026</v>
      </c>
      <c r="B108">
        <v>5</v>
      </c>
      <c r="C108" t="s">
        <v>122</v>
      </c>
      <c r="D108" s="57" t="s">
        <v>115</v>
      </c>
      <c r="E108">
        <v>8787005.3698103931</v>
      </c>
    </row>
    <row r="109" spans="1:5" x14ac:dyDescent="0.2">
      <c r="A109">
        <v>2026</v>
      </c>
      <c r="B109">
        <v>5</v>
      </c>
      <c r="C109" t="s">
        <v>122</v>
      </c>
      <c r="D109" s="57" t="s">
        <v>116</v>
      </c>
      <c r="E109">
        <v>955651.31741119828</v>
      </c>
    </row>
    <row r="110" spans="1:5" x14ac:dyDescent="0.2">
      <c r="A110">
        <v>2026</v>
      </c>
      <c r="B110">
        <v>5</v>
      </c>
      <c r="C110" t="s">
        <v>124</v>
      </c>
      <c r="D110" s="57" t="s">
        <v>117</v>
      </c>
      <c r="E110">
        <v>1668471.5479783064</v>
      </c>
    </row>
    <row r="111" spans="1:5" x14ac:dyDescent="0.2">
      <c r="A111">
        <v>2026</v>
      </c>
      <c r="B111">
        <v>5</v>
      </c>
      <c r="C111" t="s">
        <v>124</v>
      </c>
      <c r="D111" s="57" t="s">
        <v>118</v>
      </c>
      <c r="E111">
        <v>17361735.781204663</v>
      </c>
    </row>
    <row r="112" spans="1:5" x14ac:dyDescent="0.2">
      <c r="A112">
        <v>2026</v>
      </c>
      <c r="B112">
        <v>6</v>
      </c>
      <c r="C112" t="s">
        <v>121</v>
      </c>
      <c r="D112" s="57" t="s">
        <v>98</v>
      </c>
      <c r="E112" s="58">
        <v>22467467.976980641</v>
      </c>
    </row>
    <row r="113" spans="1:5" x14ac:dyDescent="0.2">
      <c r="A113">
        <v>2026</v>
      </c>
      <c r="B113">
        <v>6</v>
      </c>
      <c r="C113" t="s">
        <v>122</v>
      </c>
      <c r="D113" s="57" t="s">
        <v>99</v>
      </c>
      <c r="E113" s="58">
        <v>569893.31940445164</v>
      </c>
    </row>
    <row r="114" spans="1:5" x14ac:dyDescent="0.2">
      <c r="A114">
        <v>2026</v>
      </c>
      <c r="B114">
        <v>6</v>
      </c>
      <c r="C114" t="s">
        <v>122</v>
      </c>
      <c r="D114" s="57" t="s">
        <v>100</v>
      </c>
      <c r="E114" s="58">
        <v>333393.38447306521</v>
      </c>
    </row>
    <row r="115" spans="1:5" x14ac:dyDescent="0.2">
      <c r="A115">
        <v>2026</v>
      </c>
      <c r="B115">
        <v>6</v>
      </c>
      <c r="C115" t="s">
        <v>122</v>
      </c>
      <c r="D115" s="57" t="s">
        <v>101</v>
      </c>
      <c r="E115" s="58">
        <v>2314951.2304526488</v>
      </c>
    </row>
    <row r="116" spans="1:5" x14ac:dyDescent="0.2">
      <c r="A116">
        <v>2026</v>
      </c>
      <c r="B116">
        <v>6</v>
      </c>
      <c r="C116" t="s">
        <v>122</v>
      </c>
      <c r="D116" s="57" t="s">
        <v>102</v>
      </c>
      <c r="E116" s="58">
        <v>1292245.1273493078</v>
      </c>
    </row>
    <row r="117" spans="1:5" x14ac:dyDescent="0.2">
      <c r="A117">
        <v>2026</v>
      </c>
      <c r="B117">
        <v>6</v>
      </c>
      <c r="C117" t="s">
        <v>122</v>
      </c>
      <c r="D117" s="57" t="s">
        <v>103</v>
      </c>
      <c r="E117" s="58">
        <v>32095.58240901753</v>
      </c>
    </row>
    <row r="118" spans="1:5" x14ac:dyDescent="0.2">
      <c r="A118">
        <v>2026</v>
      </c>
      <c r="B118">
        <v>6</v>
      </c>
      <c r="C118" t="s">
        <v>122</v>
      </c>
      <c r="D118" s="57" t="s">
        <v>104</v>
      </c>
      <c r="E118" s="58">
        <v>242160.15099072197</v>
      </c>
    </row>
    <row r="119" spans="1:5" x14ac:dyDescent="0.2">
      <c r="A119">
        <v>2026</v>
      </c>
      <c r="B119">
        <v>6</v>
      </c>
      <c r="C119" t="s">
        <v>122</v>
      </c>
      <c r="D119" s="57" t="s">
        <v>105</v>
      </c>
      <c r="E119" s="58">
        <v>24366403.588026941</v>
      </c>
    </row>
    <row r="120" spans="1:5" x14ac:dyDescent="0.2">
      <c r="A120">
        <v>2026</v>
      </c>
      <c r="B120">
        <v>6</v>
      </c>
      <c r="C120" t="s">
        <v>122</v>
      </c>
      <c r="D120" s="57" t="s">
        <v>106</v>
      </c>
      <c r="E120" s="58">
        <v>72246.565915082945</v>
      </c>
    </row>
    <row r="121" spans="1:5" x14ac:dyDescent="0.2">
      <c r="A121">
        <v>2026</v>
      </c>
      <c r="B121">
        <v>6</v>
      </c>
      <c r="C121" t="s">
        <v>122</v>
      </c>
      <c r="D121" s="57" t="s">
        <v>107</v>
      </c>
      <c r="E121" s="58">
        <v>21973309.841444314</v>
      </c>
    </row>
    <row r="122" spans="1:5" x14ac:dyDescent="0.2">
      <c r="A122">
        <v>2026</v>
      </c>
      <c r="B122">
        <v>6</v>
      </c>
      <c r="C122" t="s">
        <v>122</v>
      </c>
      <c r="D122" s="57" t="s">
        <v>108</v>
      </c>
      <c r="E122" s="58">
        <v>71920.376005572252</v>
      </c>
    </row>
    <row r="123" spans="1:5" x14ac:dyDescent="0.2">
      <c r="A123">
        <v>2026</v>
      </c>
      <c r="B123">
        <v>6</v>
      </c>
      <c r="C123" t="s">
        <v>109</v>
      </c>
      <c r="D123" s="57" t="s">
        <v>109</v>
      </c>
      <c r="E123" s="58">
        <v>10519190.916993633</v>
      </c>
    </row>
    <row r="124" spans="1:5" x14ac:dyDescent="0.2">
      <c r="A124">
        <v>2026</v>
      </c>
      <c r="B124">
        <v>6</v>
      </c>
      <c r="C124" t="s">
        <v>122</v>
      </c>
      <c r="D124" s="57" t="s">
        <v>110</v>
      </c>
      <c r="E124" s="58">
        <v>669609.09920222033</v>
      </c>
    </row>
    <row r="125" spans="1:5" x14ac:dyDescent="0.2">
      <c r="A125">
        <v>2026</v>
      </c>
      <c r="B125">
        <v>6</v>
      </c>
      <c r="C125" t="s">
        <v>111</v>
      </c>
      <c r="D125" s="57" t="s">
        <v>111</v>
      </c>
      <c r="E125" s="58">
        <v>86699856.058438644</v>
      </c>
    </row>
    <row r="126" spans="1:5" x14ac:dyDescent="0.2">
      <c r="A126">
        <v>2026</v>
      </c>
      <c r="B126">
        <v>6</v>
      </c>
      <c r="C126" t="s">
        <v>122</v>
      </c>
      <c r="D126" s="57" t="s">
        <v>112</v>
      </c>
      <c r="E126" s="58">
        <v>13946547.760424549</v>
      </c>
    </row>
    <row r="127" spans="1:5" x14ac:dyDescent="0.2">
      <c r="A127">
        <v>2026</v>
      </c>
      <c r="B127">
        <v>6</v>
      </c>
      <c r="C127" t="s">
        <v>122</v>
      </c>
      <c r="D127" s="57" t="s">
        <v>113</v>
      </c>
      <c r="E127" s="58">
        <v>41465023.574073948</v>
      </c>
    </row>
    <row r="128" spans="1:5" x14ac:dyDescent="0.2">
      <c r="A128">
        <v>2026</v>
      </c>
      <c r="B128">
        <v>6</v>
      </c>
      <c r="C128" t="s">
        <v>123</v>
      </c>
      <c r="D128" s="57" t="s">
        <v>114</v>
      </c>
      <c r="E128" s="58">
        <v>107706821.13015772</v>
      </c>
    </row>
    <row r="129" spans="1:5" x14ac:dyDescent="0.2">
      <c r="A129">
        <v>2026</v>
      </c>
      <c r="B129">
        <v>6</v>
      </c>
      <c r="C129" t="s">
        <v>123</v>
      </c>
      <c r="D129" s="57" t="s">
        <v>42</v>
      </c>
      <c r="E129" s="58">
        <v>475770.39650897722</v>
      </c>
    </row>
    <row r="130" spans="1:5" x14ac:dyDescent="0.2">
      <c r="A130">
        <v>2026</v>
      </c>
      <c r="B130">
        <v>6</v>
      </c>
      <c r="C130" t="s">
        <v>122</v>
      </c>
      <c r="D130" s="57" t="s">
        <v>115</v>
      </c>
      <c r="E130" s="58">
        <v>4907291.2407379132</v>
      </c>
    </row>
    <row r="131" spans="1:5" x14ac:dyDescent="0.2">
      <c r="A131">
        <v>2026</v>
      </c>
      <c r="B131">
        <v>6</v>
      </c>
      <c r="C131" t="s">
        <v>122</v>
      </c>
      <c r="D131" s="57" t="s">
        <v>116</v>
      </c>
      <c r="E131" s="58">
        <v>656159.56017549254</v>
      </c>
    </row>
    <row r="132" spans="1:5" x14ac:dyDescent="0.2">
      <c r="A132">
        <v>2026</v>
      </c>
      <c r="B132">
        <v>6</v>
      </c>
      <c r="C132" t="s">
        <v>124</v>
      </c>
      <c r="D132" s="57" t="s">
        <v>117</v>
      </c>
      <c r="E132" s="58">
        <v>1148341.2518252714</v>
      </c>
    </row>
    <row r="133" spans="1:5" x14ac:dyDescent="0.2">
      <c r="A133">
        <v>2026</v>
      </c>
      <c r="B133">
        <v>6</v>
      </c>
      <c r="C133" t="s">
        <v>124</v>
      </c>
      <c r="D133" s="57" t="s">
        <v>118</v>
      </c>
      <c r="E133" s="58">
        <v>19776345.188968148</v>
      </c>
    </row>
    <row r="134" spans="1:5" x14ac:dyDescent="0.2">
      <c r="A134">
        <v>2026</v>
      </c>
      <c r="B134">
        <v>7</v>
      </c>
      <c r="C134" t="s">
        <v>121</v>
      </c>
      <c r="D134" s="57" t="s">
        <v>98</v>
      </c>
      <c r="E134" s="58">
        <v>13076000.313383257</v>
      </c>
    </row>
    <row r="135" spans="1:5" x14ac:dyDescent="0.2">
      <c r="A135">
        <v>2026</v>
      </c>
      <c r="B135">
        <v>7</v>
      </c>
      <c r="C135" t="s">
        <v>122</v>
      </c>
      <c r="D135" s="57" t="s">
        <v>99</v>
      </c>
      <c r="E135" s="58">
        <v>1087573.9094186381</v>
      </c>
    </row>
    <row r="136" spans="1:5" x14ac:dyDescent="0.2">
      <c r="A136">
        <v>2026</v>
      </c>
      <c r="B136">
        <v>7</v>
      </c>
      <c r="C136" t="s">
        <v>122</v>
      </c>
      <c r="D136" s="57" t="s">
        <v>100</v>
      </c>
      <c r="E136" s="58">
        <v>213468.83495160381</v>
      </c>
    </row>
    <row r="137" spans="1:5" x14ac:dyDescent="0.2">
      <c r="A137">
        <v>2026</v>
      </c>
      <c r="B137">
        <v>7</v>
      </c>
      <c r="C137" t="s">
        <v>122</v>
      </c>
      <c r="D137" s="57" t="s">
        <v>101</v>
      </c>
      <c r="E137" s="58">
        <v>2420282.1923004603</v>
      </c>
    </row>
    <row r="138" spans="1:5" x14ac:dyDescent="0.2">
      <c r="A138">
        <v>2026</v>
      </c>
      <c r="B138">
        <v>7</v>
      </c>
      <c r="C138" t="s">
        <v>122</v>
      </c>
      <c r="D138" s="57" t="s">
        <v>102</v>
      </c>
      <c r="E138" s="58">
        <v>2231327.7262605852</v>
      </c>
    </row>
    <row r="139" spans="1:5" x14ac:dyDescent="0.2">
      <c r="A139">
        <v>2026</v>
      </c>
      <c r="B139">
        <v>7</v>
      </c>
      <c r="C139" t="s">
        <v>122</v>
      </c>
      <c r="D139" s="57" t="s">
        <v>103</v>
      </c>
      <c r="E139" s="58">
        <v>19302.719528676007</v>
      </c>
    </row>
    <row r="140" spans="1:5" x14ac:dyDescent="0.2">
      <c r="A140">
        <v>2026</v>
      </c>
      <c r="B140">
        <v>7</v>
      </c>
      <c r="C140" t="s">
        <v>122</v>
      </c>
      <c r="D140" s="57" t="s">
        <v>104</v>
      </c>
      <c r="E140" s="58">
        <v>402165.1359557283</v>
      </c>
    </row>
    <row r="141" spans="1:5" x14ac:dyDescent="0.2">
      <c r="A141">
        <v>2026</v>
      </c>
      <c r="B141">
        <v>7</v>
      </c>
      <c r="C141" t="s">
        <v>122</v>
      </c>
      <c r="D141" s="57" t="s">
        <v>105</v>
      </c>
      <c r="E141" s="58">
        <v>29204969.619952012</v>
      </c>
    </row>
    <row r="142" spans="1:5" x14ac:dyDescent="0.2">
      <c r="A142">
        <v>2026</v>
      </c>
      <c r="B142">
        <v>7</v>
      </c>
      <c r="C142" t="s">
        <v>122</v>
      </c>
      <c r="D142" s="57" t="s">
        <v>106</v>
      </c>
      <c r="E142" s="58">
        <v>47334.021445247337</v>
      </c>
    </row>
    <row r="143" spans="1:5" x14ac:dyDescent="0.2">
      <c r="A143">
        <v>2026</v>
      </c>
      <c r="B143">
        <v>7</v>
      </c>
      <c r="C143" t="s">
        <v>122</v>
      </c>
      <c r="D143" s="57" t="s">
        <v>107</v>
      </c>
      <c r="E143" s="58">
        <v>37139301.978917181</v>
      </c>
    </row>
    <row r="144" spans="1:5" x14ac:dyDescent="0.2">
      <c r="A144">
        <v>2026</v>
      </c>
      <c r="B144">
        <v>7</v>
      </c>
      <c r="C144" t="s">
        <v>122</v>
      </c>
      <c r="D144" s="57" t="s">
        <v>108</v>
      </c>
      <c r="E144" s="58">
        <v>11494.453843224943</v>
      </c>
    </row>
    <row r="145" spans="1:5" x14ac:dyDescent="0.2">
      <c r="A145">
        <v>2026</v>
      </c>
      <c r="B145">
        <v>7</v>
      </c>
      <c r="C145" t="s">
        <v>109</v>
      </c>
      <c r="D145" s="57" t="s">
        <v>109</v>
      </c>
      <c r="E145" s="58">
        <v>8135200.1080301981</v>
      </c>
    </row>
    <row r="146" spans="1:5" x14ac:dyDescent="0.2">
      <c r="A146">
        <v>2026</v>
      </c>
      <c r="B146">
        <v>7</v>
      </c>
      <c r="C146" t="s">
        <v>122</v>
      </c>
      <c r="D146" s="57" t="s">
        <v>110</v>
      </c>
      <c r="E146" s="58">
        <v>748294.04693183315</v>
      </c>
    </row>
    <row r="147" spans="1:5" x14ac:dyDescent="0.2">
      <c r="A147">
        <v>2026</v>
      </c>
      <c r="B147">
        <v>7</v>
      </c>
      <c r="C147" t="s">
        <v>111</v>
      </c>
      <c r="D147" s="57" t="s">
        <v>111</v>
      </c>
      <c r="E147" s="58">
        <v>104105670.7496009</v>
      </c>
    </row>
    <row r="148" spans="1:5" x14ac:dyDescent="0.2">
      <c r="A148">
        <v>2026</v>
      </c>
      <c r="B148">
        <v>7</v>
      </c>
      <c r="C148" t="s">
        <v>122</v>
      </c>
      <c r="D148" s="57" t="s">
        <v>112</v>
      </c>
      <c r="E148" s="58">
        <v>22464389.089796621</v>
      </c>
    </row>
    <row r="149" spans="1:5" x14ac:dyDescent="0.2">
      <c r="A149">
        <v>2026</v>
      </c>
      <c r="B149">
        <v>7</v>
      </c>
      <c r="C149" t="s">
        <v>122</v>
      </c>
      <c r="D149" s="57" t="s">
        <v>113</v>
      </c>
      <c r="E149" s="58">
        <v>19134166.389287334</v>
      </c>
    </row>
    <row r="150" spans="1:5" x14ac:dyDescent="0.2">
      <c r="A150">
        <v>2026</v>
      </c>
      <c r="B150">
        <v>7</v>
      </c>
      <c r="C150" t="s">
        <v>123</v>
      </c>
      <c r="D150" s="57" t="s">
        <v>114</v>
      </c>
      <c r="E150" s="58">
        <v>93879328.359044746</v>
      </c>
    </row>
    <row r="151" spans="1:5" x14ac:dyDescent="0.2">
      <c r="A151">
        <v>2026</v>
      </c>
      <c r="B151">
        <v>7</v>
      </c>
      <c r="C151" t="s">
        <v>123</v>
      </c>
      <c r="D151" s="57" t="s">
        <v>42</v>
      </c>
      <c r="E151" s="58">
        <v>204182.53762195131</v>
      </c>
    </row>
    <row r="152" spans="1:5" x14ac:dyDescent="0.2">
      <c r="A152">
        <v>2026</v>
      </c>
      <c r="B152">
        <v>7</v>
      </c>
      <c r="C152" t="s">
        <v>122</v>
      </c>
      <c r="D152" s="57" t="s">
        <v>115</v>
      </c>
      <c r="E152" s="58">
        <v>8668385.8517863825</v>
      </c>
    </row>
    <row r="153" spans="1:5" x14ac:dyDescent="0.2">
      <c r="A153">
        <v>2026</v>
      </c>
      <c r="B153">
        <v>7</v>
      </c>
      <c r="C153" t="s">
        <v>122</v>
      </c>
      <c r="D153" s="57" t="s">
        <v>116</v>
      </c>
      <c r="E153" s="58">
        <v>877705.40346475306</v>
      </c>
    </row>
    <row r="154" spans="1:5" x14ac:dyDescent="0.2">
      <c r="A154">
        <v>2026</v>
      </c>
      <c r="B154">
        <v>7</v>
      </c>
      <c r="C154" t="s">
        <v>124</v>
      </c>
      <c r="D154" s="57" t="s">
        <v>117</v>
      </c>
      <c r="E154" s="58">
        <v>1562015.5072613831</v>
      </c>
    </row>
    <row r="155" spans="1:5" x14ac:dyDescent="0.2">
      <c r="A155">
        <v>2026</v>
      </c>
      <c r="B155">
        <v>7</v>
      </c>
      <c r="C155" t="s">
        <v>124</v>
      </c>
      <c r="D155" s="57" t="s">
        <v>118</v>
      </c>
      <c r="E155" s="58">
        <v>19160475.240520727</v>
      </c>
    </row>
    <row r="156" spans="1:5" x14ac:dyDescent="0.2">
      <c r="A156">
        <v>2026</v>
      </c>
      <c r="B156">
        <v>8</v>
      </c>
      <c r="C156" t="s">
        <v>121</v>
      </c>
      <c r="D156" s="57" t="s">
        <v>98</v>
      </c>
      <c r="E156" s="58">
        <v>19395075.642900664</v>
      </c>
    </row>
    <row r="157" spans="1:5" x14ac:dyDescent="0.2">
      <c r="A157">
        <v>2026</v>
      </c>
      <c r="B157">
        <v>8</v>
      </c>
      <c r="C157" t="s">
        <v>122</v>
      </c>
      <c r="D157" s="57" t="s">
        <v>99</v>
      </c>
      <c r="E157" s="58">
        <v>1876980.002994414</v>
      </c>
    </row>
    <row r="158" spans="1:5" x14ac:dyDescent="0.2">
      <c r="A158">
        <v>2026</v>
      </c>
      <c r="B158">
        <v>8</v>
      </c>
      <c r="C158" t="s">
        <v>122</v>
      </c>
      <c r="D158" s="57" t="s">
        <v>100</v>
      </c>
      <c r="E158" s="58">
        <v>213468.83495160381</v>
      </c>
    </row>
    <row r="159" spans="1:5" x14ac:dyDescent="0.2">
      <c r="A159">
        <v>2026</v>
      </c>
      <c r="B159">
        <v>8</v>
      </c>
      <c r="C159" t="s">
        <v>122</v>
      </c>
      <c r="D159" s="57" t="s">
        <v>101</v>
      </c>
      <c r="E159" s="58">
        <v>2625378.1410481869</v>
      </c>
    </row>
    <row r="160" spans="1:5" x14ac:dyDescent="0.2">
      <c r="A160">
        <v>2026</v>
      </c>
      <c r="B160">
        <v>8</v>
      </c>
      <c r="C160" t="s">
        <v>122</v>
      </c>
      <c r="D160" s="57" t="s">
        <v>102</v>
      </c>
      <c r="E160" s="58">
        <v>1967963.5554855077</v>
      </c>
    </row>
    <row r="161" spans="1:5" x14ac:dyDescent="0.2">
      <c r="A161">
        <v>2026</v>
      </c>
      <c r="B161">
        <v>8</v>
      </c>
      <c r="C161" t="s">
        <v>122</v>
      </c>
      <c r="D161" s="57" t="s">
        <v>103</v>
      </c>
      <c r="E161" s="58">
        <v>58754.328916133105</v>
      </c>
    </row>
    <row r="162" spans="1:5" x14ac:dyDescent="0.2">
      <c r="A162">
        <v>2026</v>
      </c>
      <c r="B162">
        <v>8</v>
      </c>
      <c r="C162" t="s">
        <v>122</v>
      </c>
      <c r="D162" s="57" t="s">
        <v>104</v>
      </c>
      <c r="E162" s="58">
        <v>310846.88100625633</v>
      </c>
    </row>
    <row r="163" spans="1:5" x14ac:dyDescent="0.2">
      <c r="A163">
        <v>2026</v>
      </c>
      <c r="B163">
        <v>8</v>
      </c>
      <c r="C163" t="s">
        <v>122</v>
      </c>
      <c r="D163" s="57" t="s">
        <v>105</v>
      </c>
      <c r="E163" s="58">
        <v>29244668.51097063</v>
      </c>
    </row>
    <row r="164" spans="1:5" x14ac:dyDescent="0.2">
      <c r="A164">
        <v>2026</v>
      </c>
      <c r="B164">
        <v>8</v>
      </c>
      <c r="C164" t="s">
        <v>122</v>
      </c>
      <c r="D164" s="57" t="s">
        <v>106</v>
      </c>
      <c r="E164" s="58">
        <v>49198.178958687713</v>
      </c>
    </row>
    <row r="165" spans="1:5" x14ac:dyDescent="0.2">
      <c r="A165">
        <v>2026</v>
      </c>
      <c r="B165">
        <v>8</v>
      </c>
      <c r="C165" t="s">
        <v>122</v>
      </c>
      <c r="D165" s="57" t="s">
        <v>107</v>
      </c>
      <c r="E165" s="58">
        <v>36850436.314637661</v>
      </c>
    </row>
    <row r="166" spans="1:5" x14ac:dyDescent="0.2">
      <c r="A166">
        <v>2026</v>
      </c>
      <c r="B166">
        <v>8</v>
      </c>
      <c r="C166" t="s">
        <v>122</v>
      </c>
      <c r="D166" s="57" t="s">
        <v>108</v>
      </c>
      <c r="E166" s="58">
        <v>149231.51023665597</v>
      </c>
    </row>
    <row r="167" spans="1:5" x14ac:dyDescent="0.2">
      <c r="A167">
        <v>2026</v>
      </c>
      <c r="B167">
        <v>8</v>
      </c>
      <c r="C167" t="s">
        <v>109</v>
      </c>
      <c r="D167" s="57" t="s">
        <v>109</v>
      </c>
      <c r="E167" s="58">
        <v>9042727.6787604243</v>
      </c>
    </row>
    <row r="168" spans="1:5" x14ac:dyDescent="0.2">
      <c r="A168">
        <v>2026</v>
      </c>
      <c r="B168">
        <v>8</v>
      </c>
      <c r="C168" t="s">
        <v>122</v>
      </c>
      <c r="D168" s="57" t="s">
        <v>110</v>
      </c>
      <c r="E168" s="58">
        <v>609785.3853030625</v>
      </c>
    </row>
    <row r="169" spans="1:5" x14ac:dyDescent="0.2">
      <c r="A169">
        <v>2026</v>
      </c>
      <c r="B169">
        <v>8</v>
      </c>
      <c r="C169" t="s">
        <v>111</v>
      </c>
      <c r="D169" s="57" t="s">
        <v>111</v>
      </c>
      <c r="E169" s="58">
        <v>99392572.06866923</v>
      </c>
    </row>
    <row r="170" spans="1:5" x14ac:dyDescent="0.2">
      <c r="A170">
        <v>2026</v>
      </c>
      <c r="B170">
        <v>8</v>
      </c>
      <c r="C170" t="s">
        <v>122</v>
      </c>
      <c r="D170" s="57" t="s">
        <v>112</v>
      </c>
      <c r="E170" s="58">
        <v>22082875.134746902</v>
      </c>
    </row>
    <row r="171" spans="1:5" x14ac:dyDescent="0.2">
      <c r="A171">
        <v>2026</v>
      </c>
      <c r="B171">
        <v>8</v>
      </c>
      <c r="C171" t="s">
        <v>122</v>
      </c>
      <c r="D171" s="57" t="s">
        <v>113</v>
      </c>
      <c r="E171" s="58">
        <v>9152508.3281259537</v>
      </c>
    </row>
    <row r="172" spans="1:5" x14ac:dyDescent="0.2">
      <c r="A172">
        <v>2026</v>
      </c>
      <c r="B172">
        <v>8</v>
      </c>
      <c r="C172" t="s">
        <v>123</v>
      </c>
      <c r="D172" s="57" t="s">
        <v>114</v>
      </c>
      <c r="E172" s="58">
        <v>108010906.2466667</v>
      </c>
    </row>
    <row r="173" spans="1:5" x14ac:dyDescent="0.2">
      <c r="A173">
        <v>2026</v>
      </c>
      <c r="B173">
        <v>8</v>
      </c>
      <c r="C173" t="s">
        <v>123</v>
      </c>
      <c r="D173" s="57" t="s">
        <v>42</v>
      </c>
      <c r="E173" s="59">
        <v>0</v>
      </c>
    </row>
    <row r="174" spans="1:5" x14ac:dyDescent="0.2">
      <c r="A174">
        <v>2026</v>
      </c>
      <c r="B174">
        <v>8</v>
      </c>
      <c r="C174" t="s">
        <v>122</v>
      </c>
      <c r="D174" s="57" t="s">
        <v>115</v>
      </c>
      <c r="E174" s="58">
        <v>8482541.187846968</v>
      </c>
    </row>
    <row r="175" spans="1:5" x14ac:dyDescent="0.2">
      <c r="A175">
        <v>2026</v>
      </c>
      <c r="B175">
        <v>8</v>
      </c>
      <c r="C175" t="s">
        <v>122</v>
      </c>
      <c r="D175" s="57" t="s">
        <v>116</v>
      </c>
      <c r="E175" s="58">
        <v>882114.19415153516</v>
      </c>
    </row>
    <row r="176" spans="1:5" x14ac:dyDescent="0.2">
      <c r="A176">
        <v>2026</v>
      </c>
      <c r="B176">
        <v>8</v>
      </c>
      <c r="C176" t="s">
        <v>124</v>
      </c>
      <c r="D176" s="57" t="s">
        <v>117</v>
      </c>
      <c r="E176" s="58">
        <v>1748318.4796697902</v>
      </c>
    </row>
    <row r="177" spans="1:5" x14ac:dyDescent="0.2">
      <c r="A177">
        <v>2026</v>
      </c>
      <c r="B177">
        <v>8</v>
      </c>
      <c r="C177" t="s">
        <v>124</v>
      </c>
      <c r="D177" s="57" t="s">
        <v>118</v>
      </c>
      <c r="E177" s="58">
        <v>18291541.432764988</v>
      </c>
    </row>
    <row r="178" spans="1:5" x14ac:dyDescent="0.2">
      <c r="A178">
        <v>2026</v>
      </c>
      <c r="B178">
        <v>9</v>
      </c>
      <c r="C178" t="s">
        <v>121</v>
      </c>
      <c r="D178" s="57" t="s">
        <v>98</v>
      </c>
      <c r="E178" s="58">
        <v>24949320.801292617</v>
      </c>
    </row>
    <row r="179" spans="1:5" x14ac:dyDescent="0.2">
      <c r="A179">
        <v>2026</v>
      </c>
      <c r="B179">
        <v>9</v>
      </c>
      <c r="C179" t="s">
        <v>122</v>
      </c>
      <c r="D179" s="57" t="s">
        <v>99</v>
      </c>
      <c r="E179" s="58">
        <v>1345883.4575043693</v>
      </c>
    </row>
    <row r="180" spans="1:5" x14ac:dyDescent="0.2">
      <c r="A180">
        <v>2026</v>
      </c>
      <c r="B180">
        <v>9</v>
      </c>
      <c r="C180" t="s">
        <v>122</v>
      </c>
      <c r="D180" s="57" t="s">
        <v>100</v>
      </c>
      <c r="E180" s="58">
        <v>427907.90394650359</v>
      </c>
    </row>
    <row r="181" spans="1:5" x14ac:dyDescent="0.2">
      <c r="A181">
        <v>2026</v>
      </c>
      <c r="B181">
        <v>9</v>
      </c>
      <c r="C181" t="s">
        <v>122</v>
      </c>
      <c r="D181" s="57" t="s">
        <v>101</v>
      </c>
      <c r="E181" s="58">
        <v>2618927.9482410862</v>
      </c>
    </row>
    <row r="182" spans="1:5" x14ac:dyDescent="0.2">
      <c r="A182">
        <v>2026</v>
      </c>
      <c r="B182">
        <v>9</v>
      </c>
      <c r="C182" t="s">
        <v>122</v>
      </c>
      <c r="D182" s="57" t="s">
        <v>102</v>
      </c>
      <c r="E182" s="58">
        <v>2665687.8918418689</v>
      </c>
    </row>
    <row r="183" spans="1:5" x14ac:dyDescent="0.2">
      <c r="A183">
        <v>2026</v>
      </c>
      <c r="B183">
        <v>9</v>
      </c>
      <c r="C183" t="s">
        <v>122</v>
      </c>
      <c r="D183" s="57" t="s">
        <v>103</v>
      </c>
      <c r="E183" s="58">
        <v>120202.26947128536</v>
      </c>
    </row>
    <row r="184" spans="1:5" x14ac:dyDescent="0.2">
      <c r="A184">
        <v>2026</v>
      </c>
      <c r="B184">
        <v>9</v>
      </c>
      <c r="C184" t="s">
        <v>122</v>
      </c>
      <c r="D184" s="57" t="s">
        <v>104</v>
      </c>
      <c r="E184" s="58">
        <v>417067.88959512458</v>
      </c>
    </row>
    <row r="185" spans="1:5" x14ac:dyDescent="0.2">
      <c r="A185">
        <v>2026</v>
      </c>
      <c r="B185">
        <v>9</v>
      </c>
      <c r="C185" t="s">
        <v>122</v>
      </c>
      <c r="D185" s="57" t="s">
        <v>105</v>
      </c>
      <c r="E185" s="58">
        <v>28217535.128849659</v>
      </c>
    </row>
    <row r="186" spans="1:5" x14ac:dyDescent="0.2">
      <c r="A186">
        <v>2026</v>
      </c>
      <c r="B186">
        <v>9</v>
      </c>
      <c r="C186" t="s">
        <v>122</v>
      </c>
      <c r="D186" s="57" t="s">
        <v>106</v>
      </c>
      <c r="E186" s="58">
        <v>31456.39637515365</v>
      </c>
    </row>
    <row r="187" spans="1:5" x14ac:dyDescent="0.2">
      <c r="A187">
        <v>2026</v>
      </c>
      <c r="B187">
        <v>9</v>
      </c>
      <c r="C187" t="s">
        <v>122</v>
      </c>
      <c r="D187" s="57" t="s">
        <v>107</v>
      </c>
      <c r="E187" s="58">
        <v>34258231.865586042</v>
      </c>
    </row>
    <row r="188" spans="1:5" x14ac:dyDescent="0.2">
      <c r="A188">
        <v>2026</v>
      </c>
      <c r="B188">
        <v>9</v>
      </c>
      <c r="C188" t="s">
        <v>122</v>
      </c>
      <c r="D188" s="57" t="s">
        <v>108</v>
      </c>
      <c r="E188" s="58">
        <v>83441.534251415243</v>
      </c>
    </row>
    <row r="189" spans="1:5" x14ac:dyDescent="0.2">
      <c r="A189">
        <v>2026</v>
      </c>
      <c r="B189">
        <v>9</v>
      </c>
      <c r="C189" t="s">
        <v>109</v>
      </c>
      <c r="D189" s="57" t="s">
        <v>109</v>
      </c>
      <c r="E189" s="58">
        <v>5377036.3094350239</v>
      </c>
    </row>
    <row r="190" spans="1:5" x14ac:dyDescent="0.2">
      <c r="A190">
        <v>2026</v>
      </c>
      <c r="B190">
        <v>9</v>
      </c>
      <c r="C190" t="s">
        <v>122</v>
      </c>
      <c r="D190" s="57" t="s">
        <v>110</v>
      </c>
      <c r="E190" s="58">
        <v>601123.9583731395</v>
      </c>
    </row>
    <row r="191" spans="1:5" x14ac:dyDescent="0.2">
      <c r="A191">
        <v>2026</v>
      </c>
      <c r="B191">
        <v>9</v>
      </c>
      <c r="C191" t="s">
        <v>111</v>
      </c>
      <c r="D191" s="57" t="s">
        <v>111</v>
      </c>
      <c r="E191" s="58">
        <v>92715832.345310465</v>
      </c>
    </row>
    <row r="192" spans="1:5" x14ac:dyDescent="0.2">
      <c r="A192">
        <v>2026</v>
      </c>
      <c r="B192">
        <v>9</v>
      </c>
      <c r="C192" t="s">
        <v>122</v>
      </c>
      <c r="D192" s="57" t="s">
        <v>112</v>
      </c>
      <c r="E192" s="58">
        <v>20659693.730122987</v>
      </c>
    </row>
    <row r="193" spans="1:5" x14ac:dyDescent="0.2">
      <c r="A193">
        <v>2026</v>
      </c>
      <c r="B193">
        <v>9</v>
      </c>
      <c r="C193" t="s">
        <v>122</v>
      </c>
      <c r="D193" s="57" t="s">
        <v>113</v>
      </c>
      <c r="E193" s="58">
        <v>7013861.7785367789</v>
      </c>
    </row>
    <row r="194" spans="1:5" x14ac:dyDescent="0.2">
      <c r="A194">
        <v>2026</v>
      </c>
      <c r="B194">
        <v>9</v>
      </c>
      <c r="C194" t="s">
        <v>123</v>
      </c>
      <c r="D194" s="57" t="s">
        <v>114</v>
      </c>
      <c r="E194" s="58">
        <v>95745542.996670812</v>
      </c>
    </row>
    <row r="195" spans="1:5" x14ac:dyDescent="0.2">
      <c r="A195">
        <v>2026</v>
      </c>
      <c r="B195">
        <v>9</v>
      </c>
      <c r="C195" t="s">
        <v>123</v>
      </c>
      <c r="D195" s="57" t="s">
        <v>42</v>
      </c>
      <c r="E195" s="58">
        <v>1274524.9499958868</v>
      </c>
    </row>
    <row r="196" spans="1:5" x14ac:dyDescent="0.2">
      <c r="A196">
        <v>2026</v>
      </c>
      <c r="B196">
        <v>9</v>
      </c>
      <c r="C196" t="s">
        <v>122</v>
      </c>
      <c r="D196" s="57" t="s">
        <v>115</v>
      </c>
      <c r="E196" s="58">
        <v>7366678.0272651818</v>
      </c>
    </row>
    <row r="197" spans="1:5" x14ac:dyDescent="0.2">
      <c r="A197">
        <v>2026</v>
      </c>
      <c r="B197">
        <v>9</v>
      </c>
      <c r="C197" t="s">
        <v>122</v>
      </c>
      <c r="D197" s="57" t="s">
        <v>116</v>
      </c>
      <c r="E197" s="58">
        <v>776575.98184679286</v>
      </c>
    </row>
    <row r="198" spans="1:5" x14ac:dyDescent="0.2">
      <c r="A198">
        <v>2026</v>
      </c>
      <c r="B198">
        <v>9</v>
      </c>
      <c r="C198" t="s">
        <v>124</v>
      </c>
      <c r="D198" s="57" t="s">
        <v>117</v>
      </c>
      <c r="E198" s="58">
        <v>3479508.4849289702</v>
      </c>
    </row>
    <row r="199" spans="1:5" x14ac:dyDescent="0.2">
      <c r="A199">
        <v>2026</v>
      </c>
      <c r="B199">
        <v>9</v>
      </c>
      <c r="C199" t="s">
        <v>124</v>
      </c>
      <c r="D199" s="57" t="s">
        <v>118</v>
      </c>
      <c r="E199" s="58">
        <v>33605416.125817224</v>
      </c>
    </row>
    <row r="200" spans="1:5" x14ac:dyDescent="0.2">
      <c r="A200">
        <v>2026</v>
      </c>
      <c r="B200">
        <v>10</v>
      </c>
      <c r="C200" t="s">
        <v>121</v>
      </c>
      <c r="D200" s="57" t="s">
        <v>98</v>
      </c>
      <c r="E200" s="58">
        <v>26777898.475645129</v>
      </c>
    </row>
    <row r="201" spans="1:5" x14ac:dyDescent="0.2">
      <c r="A201">
        <v>2026</v>
      </c>
      <c r="B201">
        <v>10</v>
      </c>
      <c r="C201" t="s">
        <v>122</v>
      </c>
      <c r="D201" s="57" t="s">
        <v>99</v>
      </c>
      <c r="E201" s="58">
        <v>2439854.8980177813</v>
      </c>
    </row>
    <row r="202" spans="1:5" x14ac:dyDescent="0.2">
      <c r="A202">
        <v>2026</v>
      </c>
      <c r="B202">
        <v>10</v>
      </c>
      <c r="C202" t="s">
        <v>122</v>
      </c>
      <c r="D202" s="57" t="s">
        <v>100</v>
      </c>
      <c r="E202" s="58">
        <v>312245.4491347018</v>
      </c>
    </row>
    <row r="203" spans="1:5" x14ac:dyDescent="0.2">
      <c r="A203">
        <v>2026</v>
      </c>
      <c r="B203">
        <v>10</v>
      </c>
      <c r="C203" t="s">
        <v>122</v>
      </c>
      <c r="D203" s="57" t="s">
        <v>101</v>
      </c>
      <c r="E203" s="58">
        <v>2813962.1194504052</v>
      </c>
    </row>
    <row r="204" spans="1:5" x14ac:dyDescent="0.2">
      <c r="A204">
        <v>2026</v>
      </c>
      <c r="B204">
        <v>10</v>
      </c>
      <c r="C204" t="s">
        <v>122</v>
      </c>
      <c r="D204" s="57" t="s">
        <v>102</v>
      </c>
      <c r="E204" s="58">
        <v>2658508.9385219337</v>
      </c>
    </row>
    <row r="205" spans="1:5" x14ac:dyDescent="0.2">
      <c r="A205">
        <v>2026</v>
      </c>
      <c r="B205">
        <v>10</v>
      </c>
      <c r="C205" t="s">
        <v>122</v>
      </c>
      <c r="D205" s="57" t="s">
        <v>103</v>
      </c>
      <c r="E205" s="58">
        <v>94574.087722471566</v>
      </c>
    </row>
    <row r="206" spans="1:5" x14ac:dyDescent="0.2">
      <c r="A206">
        <v>2026</v>
      </c>
      <c r="B206">
        <v>10</v>
      </c>
      <c r="C206" t="s">
        <v>122</v>
      </c>
      <c r="D206" s="57" t="s">
        <v>104</v>
      </c>
      <c r="E206" s="58">
        <v>355659.26427286788</v>
      </c>
    </row>
    <row r="207" spans="1:5" x14ac:dyDescent="0.2">
      <c r="A207">
        <v>2026</v>
      </c>
      <c r="B207">
        <v>10</v>
      </c>
      <c r="C207" t="s">
        <v>122</v>
      </c>
      <c r="D207" s="57" t="s">
        <v>105</v>
      </c>
      <c r="E207" s="58">
        <v>32774987.849687181</v>
      </c>
    </row>
    <row r="208" spans="1:5" x14ac:dyDescent="0.2">
      <c r="A208">
        <v>2026</v>
      </c>
      <c r="B208">
        <v>10</v>
      </c>
      <c r="C208" t="s">
        <v>122</v>
      </c>
      <c r="D208" s="57" t="s">
        <v>106</v>
      </c>
      <c r="E208" s="58">
        <v>33362.093676219381</v>
      </c>
    </row>
    <row r="209" spans="1:5" x14ac:dyDescent="0.2">
      <c r="A209">
        <v>2026</v>
      </c>
      <c r="B209">
        <v>10</v>
      </c>
      <c r="C209" t="s">
        <v>122</v>
      </c>
      <c r="D209" s="57" t="s">
        <v>107</v>
      </c>
      <c r="E209" s="58">
        <v>36726518.128940105</v>
      </c>
    </row>
    <row r="210" spans="1:5" x14ac:dyDescent="0.2">
      <c r="A210">
        <v>2026</v>
      </c>
      <c r="B210">
        <v>10</v>
      </c>
      <c r="C210" t="s">
        <v>122</v>
      </c>
      <c r="D210" s="57" t="s">
        <v>108</v>
      </c>
      <c r="E210" s="58">
        <v>197903.79292790825</v>
      </c>
    </row>
    <row r="211" spans="1:5" x14ac:dyDescent="0.2">
      <c r="A211">
        <v>2026</v>
      </c>
      <c r="B211">
        <v>10</v>
      </c>
      <c r="C211" t="s">
        <v>109</v>
      </c>
      <c r="D211" s="57" t="s">
        <v>109</v>
      </c>
      <c r="E211" s="58">
        <v>9499854.8880110793</v>
      </c>
    </row>
    <row r="212" spans="1:5" x14ac:dyDescent="0.2">
      <c r="A212">
        <v>2026</v>
      </c>
      <c r="B212">
        <v>10</v>
      </c>
      <c r="C212" t="s">
        <v>122</v>
      </c>
      <c r="D212" s="57" t="s">
        <v>110</v>
      </c>
      <c r="E212" s="58">
        <v>671815.51564640808</v>
      </c>
    </row>
    <row r="213" spans="1:5" x14ac:dyDescent="0.2">
      <c r="A213">
        <v>2026</v>
      </c>
      <c r="B213">
        <v>10</v>
      </c>
      <c r="C213" t="s">
        <v>111</v>
      </c>
      <c r="D213" s="57" t="s">
        <v>111</v>
      </c>
      <c r="E213" s="58">
        <v>92215278.601603612</v>
      </c>
    </row>
    <row r="214" spans="1:5" x14ac:dyDescent="0.2">
      <c r="A214">
        <v>2026</v>
      </c>
      <c r="B214">
        <v>10</v>
      </c>
      <c r="C214" t="s">
        <v>122</v>
      </c>
      <c r="D214" s="57" t="s">
        <v>112</v>
      </c>
      <c r="E214" s="58">
        <v>22696109.021746632</v>
      </c>
    </row>
    <row r="215" spans="1:5" x14ac:dyDescent="0.2">
      <c r="A215">
        <v>2026</v>
      </c>
      <c r="B215">
        <v>10</v>
      </c>
      <c r="C215" t="s">
        <v>122</v>
      </c>
      <c r="D215" s="57" t="s">
        <v>113</v>
      </c>
      <c r="E215" s="58">
        <v>6909935.463657314</v>
      </c>
    </row>
    <row r="216" spans="1:5" x14ac:dyDescent="0.2">
      <c r="A216">
        <v>2026</v>
      </c>
      <c r="B216">
        <v>10</v>
      </c>
      <c r="C216" t="s">
        <v>123</v>
      </c>
      <c r="D216" s="57" t="s">
        <v>114</v>
      </c>
      <c r="E216" s="58">
        <v>110939254.3699809</v>
      </c>
    </row>
    <row r="217" spans="1:5" x14ac:dyDescent="0.2">
      <c r="A217">
        <v>2026</v>
      </c>
      <c r="B217">
        <v>10</v>
      </c>
      <c r="C217" t="s">
        <v>123</v>
      </c>
      <c r="D217" s="57" t="s">
        <v>42</v>
      </c>
      <c r="E217" s="58">
        <v>869519.63668579317</v>
      </c>
    </row>
    <row r="218" spans="1:5" x14ac:dyDescent="0.2">
      <c r="A218">
        <v>2026</v>
      </c>
      <c r="B218">
        <v>10</v>
      </c>
      <c r="C218" t="s">
        <v>122</v>
      </c>
      <c r="D218" s="57" t="s">
        <v>115</v>
      </c>
      <c r="E218" s="58">
        <v>8388189.6087241201</v>
      </c>
    </row>
    <row r="219" spans="1:5" x14ac:dyDescent="0.2">
      <c r="A219">
        <v>2026</v>
      </c>
      <c r="B219">
        <v>10</v>
      </c>
      <c r="C219" t="s">
        <v>122</v>
      </c>
      <c r="D219" s="57" t="s">
        <v>116</v>
      </c>
      <c r="E219" s="58">
        <v>865827.7326964197</v>
      </c>
    </row>
    <row r="220" spans="1:5" x14ac:dyDescent="0.2">
      <c r="A220">
        <v>2026</v>
      </c>
      <c r="B220">
        <v>10</v>
      </c>
      <c r="C220" t="s">
        <v>124</v>
      </c>
      <c r="D220" s="57" t="s">
        <v>117</v>
      </c>
      <c r="E220" s="58">
        <v>1795288.0000293332</v>
      </c>
    </row>
    <row r="221" spans="1:5" x14ac:dyDescent="0.2">
      <c r="A221">
        <v>2026</v>
      </c>
      <c r="B221">
        <v>10</v>
      </c>
      <c r="C221" t="s">
        <v>124</v>
      </c>
      <c r="D221" s="57" t="s">
        <v>118</v>
      </c>
      <c r="E221" s="58">
        <v>17999608.750682473</v>
      </c>
    </row>
    <row r="222" spans="1:5" x14ac:dyDescent="0.2">
      <c r="A222">
        <v>2026</v>
      </c>
      <c r="B222">
        <v>11</v>
      </c>
      <c r="C222" t="s">
        <v>121</v>
      </c>
      <c r="D222" s="57" t="s">
        <v>98</v>
      </c>
      <c r="E222" s="58">
        <v>30092683.359932099</v>
      </c>
    </row>
    <row r="223" spans="1:5" x14ac:dyDescent="0.2">
      <c r="A223">
        <v>2026</v>
      </c>
      <c r="B223">
        <v>11</v>
      </c>
      <c r="C223" t="s">
        <v>122</v>
      </c>
      <c r="D223" s="57" t="s">
        <v>99</v>
      </c>
      <c r="E223" s="58">
        <v>1259820.8113122762</v>
      </c>
    </row>
    <row r="224" spans="1:5" x14ac:dyDescent="0.2">
      <c r="A224">
        <v>2026</v>
      </c>
      <c r="B224">
        <v>11</v>
      </c>
      <c r="C224" t="s">
        <v>122</v>
      </c>
      <c r="D224" s="57" t="s">
        <v>100</v>
      </c>
      <c r="E224" s="58">
        <v>171369.57546888647</v>
      </c>
    </row>
    <row r="225" spans="1:5" x14ac:dyDescent="0.2">
      <c r="A225">
        <v>2026</v>
      </c>
      <c r="B225">
        <v>11</v>
      </c>
      <c r="C225" t="s">
        <v>122</v>
      </c>
      <c r="D225" s="57" t="s">
        <v>101</v>
      </c>
      <c r="E225" s="58">
        <v>2777047.2319024834</v>
      </c>
    </row>
    <row r="226" spans="1:5" x14ac:dyDescent="0.2">
      <c r="A226">
        <v>2026</v>
      </c>
      <c r="B226">
        <v>11</v>
      </c>
      <c r="C226" t="s">
        <v>122</v>
      </c>
      <c r="D226" s="57" t="s">
        <v>102</v>
      </c>
      <c r="E226" s="58">
        <v>4225226.6926086536</v>
      </c>
    </row>
    <row r="227" spans="1:5" x14ac:dyDescent="0.2">
      <c r="A227">
        <v>2026</v>
      </c>
      <c r="B227">
        <v>11</v>
      </c>
      <c r="C227" t="s">
        <v>122</v>
      </c>
      <c r="D227" s="57" t="s">
        <v>103</v>
      </c>
      <c r="E227" s="58">
        <v>237514.68407477258</v>
      </c>
    </row>
    <row r="228" spans="1:5" x14ac:dyDescent="0.2">
      <c r="A228">
        <v>2026</v>
      </c>
      <c r="B228">
        <v>11</v>
      </c>
      <c r="C228" t="s">
        <v>122</v>
      </c>
      <c r="D228" s="57" t="s">
        <v>104</v>
      </c>
      <c r="E228" s="58">
        <v>490807.25894802867</v>
      </c>
    </row>
    <row r="229" spans="1:5" x14ac:dyDescent="0.2">
      <c r="A229">
        <v>2026</v>
      </c>
      <c r="B229">
        <v>11</v>
      </c>
      <c r="C229" t="s">
        <v>122</v>
      </c>
      <c r="D229" s="57" t="s">
        <v>105</v>
      </c>
      <c r="E229" s="58">
        <v>28597367.618349571</v>
      </c>
    </row>
    <row r="230" spans="1:5" x14ac:dyDescent="0.2">
      <c r="A230">
        <v>2026</v>
      </c>
      <c r="B230">
        <v>11</v>
      </c>
      <c r="C230" t="s">
        <v>122</v>
      </c>
      <c r="D230" s="57" t="s">
        <v>106</v>
      </c>
      <c r="E230" s="58">
        <v>26924.20262422688</v>
      </c>
    </row>
    <row r="231" spans="1:5" x14ac:dyDescent="0.2">
      <c r="A231">
        <v>2026</v>
      </c>
      <c r="B231">
        <v>11</v>
      </c>
      <c r="C231" t="s">
        <v>122</v>
      </c>
      <c r="D231" s="57" t="s">
        <v>107</v>
      </c>
      <c r="E231" s="58">
        <v>29829188.602056403</v>
      </c>
    </row>
    <row r="232" spans="1:5" x14ac:dyDescent="0.2">
      <c r="A232">
        <v>2026</v>
      </c>
      <c r="B232">
        <v>11</v>
      </c>
      <c r="C232" t="s">
        <v>122</v>
      </c>
      <c r="D232" s="57" t="s">
        <v>108</v>
      </c>
      <c r="E232" s="58">
        <v>22336.356973756661</v>
      </c>
    </row>
    <row r="233" spans="1:5" x14ac:dyDescent="0.2">
      <c r="A233">
        <v>2026</v>
      </c>
      <c r="B233">
        <v>11</v>
      </c>
      <c r="C233" t="s">
        <v>109</v>
      </c>
      <c r="D233" s="57" t="s">
        <v>109</v>
      </c>
      <c r="E233" s="58">
        <v>5033940.4871779159</v>
      </c>
    </row>
    <row r="234" spans="1:5" x14ac:dyDescent="0.2">
      <c r="A234">
        <v>2026</v>
      </c>
      <c r="B234">
        <v>11</v>
      </c>
      <c r="C234" t="s">
        <v>122</v>
      </c>
      <c r="D234" s="57" t="s">
        <v>110</v>
      </c>
      <c r="E234" s="58">
        <v>489159.98671735695</v>
      </c>
    </row>
    <row r="235" spans="1:5" x14ac:dyDescent="0.2">
      <c r="A235">
        <v>2026</v>
      </c>
      <c r="B235">
        <v>11</v>
      </c>
      <c r="C235" t="s">
        <v>111</v>
      </c>
      <c r="D235" s="57" t="s">
        <v>111</v>
      </c>
      <c r="E235" s="58">
        <v>84871358.339201435</v>
      </c>
    </row>
    <row r="236" spans="1:5" x14ac:dyDescent="0.2">
      <c r="A236">
        <v>2026</v>
      </c>
      <c r="B236">
        <v>11</v>
      </c>
      <c r="C236" t="s">
        <v>122</v>
      </c>
      <c r="D236" s="57" t="s">
        <v>112</v>
      </c>
      <c r="E236" s="58">
        <v>19225969.675426386</v>
      </c>
    </row>
    <row r="237" spans="1:5" x14ac:dyDescent="0.2">
      <c r="A237">
        <v>2026</v>
      </c>
      <c r="B237">
        <v>11</v>
      </c>
      <c r="C237" t="s">
        <v>122</v>
      </c>
      <c r="D237" s="57" t="s">
        <v>113</v>
      </c>
      <c r="E237" s="58">
        <v>50299532.032230064</v>
      </c>
    </row>
    <row r="238" spans="1:5" x14ac:dyDescent="0.2">
      <c r="A238">
        <v>2026</v>
      </c>
      <c r="B238">
        <v>11</v>
      </c>
      <c r="C238" t="s">
        <v>123</v>
      </c>
      <c r="D238" s="57" t="s">
        <v>114</v>
      </c>
      <c r="E238" s="58">
        <v>574727926.08666682</v>
      </c>
    </row>
    <row r="239" spans="1:5" x14ac:dyDescent="0.2">
      <c r="A239">
        <v>2026</v>
      </c>
      <c r="B239">
        <v>11</v>
      </c>
      <c r="C239" t="s">
        <v>123</v>
      </c>
      <c r="D239" s="57" t="s">
        <v>42</v>
      </c>
      <c r="E239" s="59">
        <v>0</v>
      </c>
    </row>
    <row r="240" spans="1:5" x14ac:dyDescent="0.2">
      <c r="A240">
        <v>2026</v>
      </c>
      <c r="B240">
        <v>11</v>
      </c>
      <c r="C240" t="s">
        <v>122</v>
      </c>
      <c r="D240" s="57" t="s">
        <v>115</v>
      </c>
      <c r="E240" s="58">
        <v>7162707.1333249863</v>
      </c>
    </row>
    <row r="241" spans="1:5" x14ac:dyDescent="0.2">
      <c r="A241">
        <v>2026</v>
      </c>
      <c r="B241">
        <v>11</v>
      </c>
      <c r="C241" t="s">
        <v>122</v>
      </c>
      <c r="D241" s="57" t="s">
        <v>116</v>
      </c>
      <c r="E241" s="58">
        <v>768411.40343551664</v>
      </c>
    </row>
    <row r="242" spans="1:5" x14ac:dyDescent="0.2">
      <c r="A242">
        <v>2026</v>
      </c>
      <c r="B242">
        <v>11</v>
      </c>
      <c r="C242" t="s">
        <v>124</v>
      </c>
      <c r="D242" s="57" t="s">
        <v>117</v>
      </c>
      <c r="E242" s="58">
        <v>1734791.0524354081</v>
      </c>
    </row>
    <row r="243" spans="1:5" x14ac:dyDescent="0.2">
      <c r="A243">
        <v>2026</v>
      </c>
      <c r="B243">
        <v>11</v>
      </c>
      <c r="C243" t="s">
        <v>124</v>
      </c>
      <c r="D243" s="57" t="s">
        <v>118</v>
      </c>
      <c r="E243" s="58">
        <v>16782834.187265094</v>
      </c>
    </row>
    <row r="244" spans="1:5" x14ac:dyDescent="0.2">
      <c r="A244">
        <v>2026</v>
      </c>
      <c r="B244">
        <v>12</v>
      </c>
      <c r="C244" t="s">
        <v>121</v>
      </c>
      <c r="D244" s="57" t="s">
        <v>98</v>
      </c>
      <c r="E244" s="58">
        <v>33124740.458293684</v>
      </c>
    </row>
    <row r="245" spans="1:5" x14ac:dyDescent="0.2">
      <c r="A245">
        <v>2026</v>
      </c>
      <c r="B245">
        <v>12</v>
      </c>
      <c r="C245" t="s">
        <v>122</v>
      </c>
      <c r="D245" s="57" t="s">
        <v>99</v>
      </c>
      <c r="E245" s="58">
        <v>1240414.1919778842</v>
      </c>
    </row>
    <row r="246" spans="1:5" x14ac:dyDescent="0.2">
      <c r="A246">
        <v>2026</v>
      </c>
      <c r="B246">
        <v>12</v>
      </c>
      <c r="C246" t="s">
        <v>122</v>
      </c>
      <c r="D246" s="57" t="s">
        <v>100</v>
      </c>
      <c r="E246" s="58">
        <v>369516.47294479294</v>
      </c>
    </row>
    <row r="247" spans="1:5" x14ac:dyDescent="0.2">
      <c r="A247">
        <v>2026</v>
      </c>
      <c r="B247">
        <v>12</v>
      </c>
      <c r="C247" t="s">
        <v>122</v>
      </c>
      <c r="D247" s="57" t="s">
        <v>101</v>
      </c>
      <c r="E247" s="58">
        <v>2830087.7444838132</v>
      </c>
    </row>
    <row r="248" spans="1:5" x14ac:dyDescent="0.2">
      <c r="A248">
        <v>2026</v>
      </c>
      <c r="B248">
        <v>12</v>
      </c>
      <c r="C248" t="s">
        <v>122</v>
      </c>
      <c r="D248" s="57" t="s">
        <v>102</v>
      </c>
      <c r="E248" s="58">
        <v>5198997.0942075346</v>
      </c>
    </row>
    <row r="249" spans="1:5" x14ac:dyDescent="0.2">
      <c r="A249">
        <v>2026</v>
      </c>
      <c r="B249">
        <v>12</v>
      </c>
      <c r="C249" t="s">
        <v>122</v>
      </c>
      <c r="D249" s="57" t="s">
        <v>103</v>
      </c>
      <c r="E249" s="58">
        <v>159388.03409636291</v>
      </c>
    </row>
    <row r="250" spans="1:5" x14ac:dyDescent="0.2">
      <c r="A250">
        <v>2026</v>
      </c>
      <c r="B250">
        <v>12</v>
      </c>
      <c r="C250" t="s">
        <v>122</v>
      </c>
      <c r="D250" s="57" t="s">
        <v>104</v>
      </c>
      <c r="E250" s="58">
        <v>477989.5262384314</v>
      </c>
    </row>
    <row r="251" spans="1:5" x14ac:dyDescent="0.2">
      <c r="A251">
        <v>2026</v>
      </c>
      <c r="B251">
        <v>12</v>
      </c>
      <c r="C251" t="s">
        <v>122</v>
      </c>
      <c r="D251" s="57" t="s">
        <v>105</v>
      </c>
      <c r="E251" s="58">
        <v>45331083.732356407</v>
      </c>
    </row>
    <row r="252" spans="1:5" x14ac:dyDescent="0.2">
      <c r="A252">
        <v>2026</v>
      </c>
      <c r="B252">
        <v>12</v>
      </c>
      <c r="C252" t="s">
        <v>122</v>
      </c>
      <c r="D252" s="57" t="s">
        <v>106</v>
      </c>
      <c r="E252" s="58">
        <v>23946.904768041313</v>
      </c>
    </row>
    <row r="253" spans="1:5" x14ac:dyDescent="0.2">
      <c r="A253">
        <v>2026</v>
      </c>
      <c r="B253">
        <v>12</v>
      </c>
      <c r="C253" t="s">
        <v>122</v>
      </c>
      <c r="D253" s="57" t="s">
        <v>107</v>
      </c>
      <c r="E253" s="58">
        <v>45373722.380229294</v>
      </c>
    </row>
    <row r="254" spans="1:5" x14ac:dyDescent="0.2">
      <c r="A254">
        <v>2026</v>
      </c>
      <c r="B254">
        <v>12</v>
      </c>
      <c r="C254" t="s">
        <v>122</v>
      </c>
      <c r="D254" s="57" t="s">
        <v>108</v>
      </c>
      <c r="E254" s="58">
        <v>80841.180925422799</v>
      </c>
    </row>
    <row r="255" spans="1:5" x14ac:dyDescent="0.2">
      <c r="A255">
        <v>2026</v>
      </c>
      <c r="B255">
        <v>12</v>
      </c>
      <c r="C255" t="s">
        <v>109</v>
      </c>
      <c r="D255" s="57" t="s">
        <v>109</v>
      </c>
      <c r="E255" s="58">
        <v>10931287.688293023</v>
      </c>
    </row>
    <row r="256" spans="1:5" x14ac:dyDescent="0.2">
      <c r="A256">
        <v>2026</v>
      </c>
      <c r="B256">
        <v>12</v>
      </c>
      <c r="C256" t="s">
        <v>122</v>
      </c>
      <c r="D256" s="57" t="s">
        <v>110</v>
      </c>
      <c r="E256" s="58">
        <v>970636.4961111102</v>
      </c>
    </row>
    <row r="257" spans="1:5" x14ac:dyDescent="0.2">
      <c r="A257">
        <v>2026</v>
      </c>
      <c r="B257">
        <v>12</v>
      </c>
      <c r="C257" t="s">
        <v>111</v>
      </c>
      <c r="D257" s="57" t="s">
        <v>111</v>
      </c>
      <c r="E257" s="58">
        <v>105195025.13480833</v>
      </c>
    </row>
    <row r="258" spans="1:5" x14ac:dyDescent="0.2">
      <c r="A258">
        <v>2026</v>
      </c>
      <c r="B258">
        <v>12</v>
      </c>
      <c r="C258" t="s">
        <v>122</v>
      </c>
      <c r="D258" s="57" t="s">
        <v>112</v>
      </c>
      <c r="E258" s="58">
        <v>26287574.545772173</v>
      </c>
    </row>
    <row r="259" spans="1:5" x14ac:dyDescent="0.2">
      <c r="A259">
        <v>2026</v>
      </c>
      <c r="B259">
        <v>12</v>
      </c>
      <c r="C259" t="s">
        <v>122</v>
      </c>
      <c r="D259" s="57" t="s">
        <v>113</v>
      </c>
      <c r="E259" s="58">
        <v>19305789.319073748</v>
      </c>
    </row>
    <row r="260" spans="1:5" x14ac:dyDescent="0.2">
      <c r="A260">
        <v>2026</v>
      </c>
      <c r="B260">
        <v>12</v>
      </c>
      <c r="C260" t="s">
        <v>123</v>
      </c>
      <c r="D260" s="57" t="s">
        <v>114</v>
      </c>
      <c r="E260" s="58">
        <v>95127576.26666671</v>
      </c>
    </row>
    <row r="261" spans="1:5" x14ac:dyDescent="0.2">
      <c r="A261">
        <v>2026</v>
      </c>
      <c r="B261">
        <v>12</v>
      </c>
      <c r="C261" t="s">
        <v>123</v>
      </c>
      <c r="D261" s="57" t="s">
        <v>42</v>
      </c>
      <c r="E261" s="59">
        <v>0</v>
      </c>
    </row>
    <row r="262" spans="1:5" x14ac:dyDescent="0.2">
      <c r="A262">
        <v>2026</v>
      </c>
      <c r="B262">
        <v>12</v>
      </c>
      <c r="C262" t="s">
        <v>122</v>
      </c>
      <c r="D262" s="57" t="s">
        <v>115</v>
      </c>
      <c r="E262" s="58">
        <v>9699167.7180690058</v>
      </c>
    </row>
    <row r="263" spans="1:5" x14ac:dyDescent="0.2">
      <c r="A263">
        <v>2026</v>
      </c>
      <c r="B263">
        <v>12</v>
      </c>
      <c r="C263" t="s">
        <v>122</v>
      </c>
      <c r="D263" s="57" t="s">
        <v>116</v>
      </c>
      <c r="E263" s="58">
        <v>941919.50340966356</v>
      </c>
    </row>
    <row r="264" spans="1:5" x14ac:dyDescent="0.2">
      <c r="A264">
        <v>2026</v>
      </c>
      <c r="B264">
        <v>12</v>
      </c>
      <c r="C264" t="s">
        <v>124</v>
      </c>
      <c r="D264" s="57" t="s">
        <v>117</v>
      </c>
      <c r="E264" s="58">
        <v>1791250.7688075372</v>
      </c>
    </row>
    <row r="265" spans="1:5" x14ac:dyDescent="0.2">
      <c r="A265">
        <v>2026</v>
      </c>
      <c r="B265">
        <v>12</v>
      </c>
      <c r="C265" t="s">
        <v>124</v>
      </c>
      <c r="D265" s="57" t="s">
        <v>118</v>
      </c>
      <c r="E265" s="58">
        <v>17901965.05441853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E0F7-AF46-43FB-8C0F-822BED4C735C}">
  <dimension ref="A1:F63"/>
  <sheetViews>
    <sheetView workbookViewId="0">
      <selection activeCell="E39" sqref="E39:E46"/>
    </sheetView>
  </sheetViews>
  <sheetFormatPr defaultRowHeight="14.25" x14ac:dyDescent="0.2"/>
  <cols>
    <col min="2" max="2" width="22.875" customWidth="1"/>
    <col min="3" max="3" width="18" style="38" bestFit="1" customWidth="1"/>
    <col min="4" max="4" width="25" bestFit="1" customWidth="1"/>
    <col min="5" max="5" width="19" style="38" bestFit="1" customWidth="1"/>
    <col min="6" max="6" width="16.125" bestFit="1" customWidth="1"/>
  </cols>
  <sheetData>
    <row r="1" spans="1:6" x14ac:dyDescent="0.2">
      <c r="A1" t="s">
        <v>0</v>
      </c>
      <c r="B1" t="s">
        <v>2</v>
      </c>
      <c r="C1" s="38" t="s">
        <v>125</v>
      </c>
      <c r="D1" t="s">
        <v>126</v>
      </c>
      <c r="E1" s="38" t="s">
        <v>127</v>
      </c>
      <c r="F1" s="29" t="s">
        <v>128</v>
      </c>
    </row>
    <row r="2" spans="1:6" ht="15" x14ac:dyDescent="0.25">
      <c r="A2" s="57">
        <v>2009</v>
      </c>
      <c r="B2" t="s">
        <v>129</v>
      </c>
      <c r="C2" s="68">
        <v>74429</v>
      </c>
      <c r="D2" s="63">
        <f>C2-(F2+E2)</f>
        <v>64829</v>
      </c>
      <c r="E2" s="68">
        <v>9600</v>
      </c>
      <c r="F2" s="63">
        <v>0</v>
      </c>
    </row>
    <row r="3" spans="1:6" ht="15" x14ac:dyDescent="0.25">
      <c r="A3" s="57">
        <v>2010</v>
      </c>
      <c r="B3" t="s">
        <v>129</v>
      </c>
      <c r="C3" s="68">
        <v>197536</v>
      </c>
      <c r="D3" s="63">
        <f t="shared" ref="D3:D18" si="0">C3-(F3+E3)</f>
        <v>167028</v>
      </c>
      <c r="E3" s="68">
        <v>11318</v>
      </c>
      <c r="F3" s="63">
        <v>19190</v>
      </c>
    </row>
    <row r="4" spans="1:6" ht="15" x14ac:dyDescent="0.25">
      <c r="A4" s="57">
        <v>2011</v>
      </c>
      <c r="B4" t="s">
        <v>129</v>
      </c>
      <c r="C4" s="68">
        <v>9107762</v>
      </c>
      <c r="D4" s="63">
        <f t="shared" si="0"/>
        <v>5001540</v>
      </c>
      <c r="E4" s="68">
        <v>4043157</v>
      </c>
      <c r="F4" s="63">
        <v>63065</v>
      </c>
    </row>
    <row r="5" spans="1:6" ht="15" x14ac:dyDescent="0.25">
      <c r="A5" s="57">
        <v>2012</v>
      </c>
      <c r="B5" t="s">
        <v>129</v>
      </c>
      <c r="C5" s="68">
        <v>544138</v>
      </c>
      <c r="D5" s="63">
        <f t="shared" si="0"/>
        <v>314564.5</v>
      </c>
      <c r="E5" s="68">
        <v>30563.5</v>
      </c>
      <c r="F5" s="63">
        <v>199010</v>
      </c>
    </row>
    <row r="6" spans="1:6" ht="15" x14ac:dyDescent="0.25">
      <c r="A6" s="57">
        <v>2013</v>
      </c>
      <c r="B6" t="s">
        <v>129</v>
      </c>
      <c r="C6" s="68">
        <v>1264631</v>
      </c>
      <c r="D6" s="63">
        <f t="shared" si="0"/>
        <v>1206380</v>
      </c>
      <c r="E6" s="68">
        <v>36476</v>
      </c>
      <c r="F6" s="63">
        <v>21775</v>
      </c>
    </row>
    <row r="7" spans="1:6" ht="15" x14ac:dyDescent="0.25">
      <c r="A7" s="57">
        <v>2014</v>
      </c>
      <c r="B7" t="s">
        <v>129</v>
      </c>
      <c r="C7" s="68">
        <v>4065625.2</v>
      </c>
      <c r="D7" s="63">
        <f t="shared" si="0"/>
        <v>3779769.22</v>
      </c>
      <c r="E7" s="68">
        <v>195320.97999999998</v>
      </c>
      <c r="F7" s="63">
        <v>90535</v>
      </c>
    </row>
    <row r="8" spans="1:6" ht="15" x14ac:dyDescent="0.25">
      <c r="A8" s="57">
        <v>2015</v>
      </c>
      <c r="B8" t="s">
        <v>129</v>
      </c>
      <c r="C8" s="68">
        <v>7708966.6799999997</v>
      </c>
      <c r="D8" s="63">
        <f t="shared" si="0"/>
        <v>6945779.6799999997</v>
      </c>
      <c r="E8" s="68">
        <v>730587</v>
      </c>
      <c r="F8" s="63">
        <v>32600</v>
      </c>
    </row>
    <row r="9" spans="1:6" ht="15" x14ac:dyDescent="0.25">
      <c r="A9" s="57">
        <v>2016</v>
      </c>
      <c r="B9" t="s">
        <v>129</v>
      </c>
      <c r="C9" s="68">
        <v>6275880.9299999988</v>
      </c>
      <c r="D9" s="63">
        <f t="shared" si="0"/>
        <v>5517829.6999999993</v>
      </c>
      <c r="E9" s="68">
        <v>588226.23</v>
      </c>
      <c r="F9" s="63">
        <v>169825</v>
      </c>
    </row>
    <row r="10" spans="1:6" ht="15" x14ac:dyDescent="0.25">
      <c r="A10" s="57">
        <v>2017</v>
      </c>
      <c r="B10" t="s">
        <v>129</v>
      </c>
      <c r="C10" s="68">
        <v>27942152.460000001</v>
      </c>
      <c r="D10" s="63">
        <f t="shared" si="0"/>
        <v>26591116.460000001</v>
      </c>
      <c r="E10" s="68">
        <v>1166371</v>
      </c>
      <c r="F10" s="63">
        <v>184665</v>
      </c>
    </row>
    <row r="11" spans="1:6" ht="15" x14ac:dyDescent="0.25">
      <c r="A11" s="57">
        <v>2018</v>
      </c>
      <c r="B11" t="s">
        <v>129</v>
      </c>
      <c r="C11" s="68">
        <v>13655910.390000002</v>
      </c>
      <c r="D11" s="63">
        <f t="shared" si="0"/>
        <v>10682092.760000002</v>
      </c>
      <c r="E11" s="68">
        <v>2807639.5</v>
      </c>
      <c r="F11" s="63">
        <v>166178.13</v>
      </c>
    </row>
    <row r="12" spans="1:6" ht="15" x14ac:dyDescent="0.25">
      <c r="A12" s="57">
        <v>2019</v>
      </c>
      <c r="B12" t="s">
        <v>129</v>
      </c>
      <c r="C12" s="68">
        <v>22634928.819999997</v>
      </c>
      <c r="D12" s="63">
        <f t="shared" si="0"/>
        <v>20916718.639999997</v>
      </c>
      <c r="E12" s="68">
        <v>1688322.6800000002</v>
      </c>
      <c r="F12" s="63">
        <v>29887.5</v>
      </c>
    </row>
    <row r="13" spans="1:6" ht="15" x14ac:dyDescent="0.25">
      <c r="A13" s="57">
        <v>2020</v>
      </c>
      <c r="B13" t="s">
        <v>129</v>
      </c>
      <c r="C13" s="68">
        <v>16114596.43</v>
      </c>
      <c r="D13" s="63">
        <f t="shared" si="0"/>
        <v>14330013.01</v>
      </c>
      <c r="E13" s="68">
        <v>1740527.1600000001</v>
      </c>
      <c r="F13" s="63">
        <v>44056.26</v>
      </c>
    </row>
    <row r="14" spans="1:6" ht="15" x14ac:dyDescent="0.25">
      <c r="A14" s="57">
        <v>2021</v>
      </c>
      <c r="B14" t="s">
        <v>129</v>
      </c>
      <c r="C14" s="68">
        <v>68508003.519999996</v>
      </c>
      <c r="D14" s="63">
        <f t="shared" si="0"/>
        <v>66460193.689999998</v>
      </c>
      <c r="E14" s="68">
        <v>1943897.33</v>
      </c>
      <c r="F14" s="63">
        <v>103912.5</v>
      </c>
    </row>
    <row r="15" spans="1:6" ht="15" x14ac:dyDescent="0.25">
      <c r="A15" s="57">
        <v>2022</v>
      </c>
      <c r="B15" t="s">
        <v>129</v>
      </c>
      <c r="C15" s="68">
        <v>51994093.75</v>
      </c>
      <c r="D15" s="63">
        <f t="shared" si="0"/>
        <v>36890159.339999996</v>
      </c>
      <c r="E15" s="68">
        <v>14644481.910000002</v>
      </c>
      <c r="F15" s="63">
        <v>459452.5</v>
      </c>
    </row>
    <row r="16" spans="1:6" ht="15" x14ac:dyDescent="0.25">
      <c r="A16" s="57">
        <v>2023</v>
      </c>
      <c r="B16" t="s">
        <v>129</v>
      </c>
      <c r="C16" s="68">
        <v>38070364.519999996</v>
      </c>
      <c r="D16" s="63">
        <f t="shared" si="0"/>
        <v>31314793.339999996</v>
      </c>
      <c r="E16" s="68">
        <v>5360071.18</v>
      </c>
      <c r="F16" s="63">
        <v>1395500</v>
      </c>
    </row>
    <row r="17" spans="1:6" ht="15" x14ac:dyDescent="0.25">
      <c r="A17" s="57">
        <v>2024</v>
      </c>
      <c r="B17" t="s">
        <v>129</v>
      </c>
      <c r="C17" s="68">
        <v>80551684.808823541</v>
      </c>
      <c r="D17" s="63">
        <f t="shared" si="0"/>
        <v>56987631.108823538</v>
      </c>
      <c r="E17" s="68">
        <v>21289058.700000003</v>
      </c>
      <c r="F17" s="63">
        <v>2274995</v>
      </c>
    </row>
    <row r="18" spans="1:6" ht="15" x14ac:dyDescent="0.25">
      <c r="A18" s="57">
        <v>2025</v>
      </c>
      <c r="B18" t="s">
        <v>129</v>
      </c>
      <c r="C18" s="68">
        <v>212092345.86999997</v>
      </c>
      <c r="D18" s="63">
        <f t="shared" si="0"/>
        <v>85940733.879999965</v>
      </c>
      <c r="E18" s="68">
        <v>115807084.09</v>
      </c>
      <c r="F18" s="63">
        <v>10344527.9</v>
      </c>
    </row>
    <row r="19" spans="1:6" ht="15" x14ac:dyDescent="0.25">
      <c r="A19" s="64">
        <v>2007</v>
      </c>
      <c r="B19" t="s">
        <v>13</v>
      </c>
      <c r="C19" s="68">
        <v>98800</v>
      </c>
      <c r="D19" s="63">
        <v>98800</v>
      </c>
      <c r="E19" s="68">
        <v>0</v>
      </c>
      <c r="F19" s="63">
        <v>0</v>
      </c>
    </row>
    <row r="20" spans="1:6" ht="15" x14ac:dyDescent="0.25">
      <c r="A20" s="64">
        <v>2008</v>
      </c>
      <c r="B20" t="s">
        <v>13</v>
      </c>
      <c r="C20" s="68">
        <v>1073292.2</v>
      </c>
      <c r="D20" s="63">
        <v>1073292.2</v>
      </c>
      <c r="E20" s="68">
        <v>0</v>
      </c>
      <c r="F20" s="63">
        <v>0</v>
      </c>
    </row>
    <row r="21" spans="1:6" ht="15" x14ac:dyDescent="0.25">
      <c r="A21" s="64">
        <v>2009</v>
      </c>
      <c r="B21" t="s">
        <v>13</v>
      </c>
      <c r="C21" s="68">
        <v>1172825.5</v>
      </c>
      <c r="D21" s="63">
        <v>1172825.5</v>
      </c>
      <c r="E21" s="68">
        <v>0</v>
      </c>
      <c r="F21" s="63">
        <v>0</v>
      </c>
    </row>
    <row r="22" spans="1:6" ht="15" x14ac:dyDescent="0.25">
      <c r="A22" s="64">
        <v>2010</v>
      </c>
      <c r="B22" t="s">
        <v>13</v>
      </c>
      <c r="C22" s="68">
        <v>1284324</v>
      </c>
      <c r="D22" s="63">
        <v>1284324</v>
      </c>
      <c r="E22" s="68">
        <v>0</v>
      </c>
      <c r="F22" s="63">
        <v>0</v>
      </c>
    </row>
    <row r="23" spans="1:6" ht="15" x14ac:dyDescent="0.25">
      <c r="A23" s="64">
        <v>2011</v>
      </c>
      <c r="B23" t="s">
        <v>13</v>
      </c>
      <c r="C23" s="68">
        <v>1056538</v>
      </c>
      <c r="D23" s="63">
        <v>1056538</v>
      </c>
      <c r="E23" s="68">
        <v>0</v>
      </c>
      <c r="F23" s="63">
        <v>0</v>
      </c>
    </row>
    <row r="24" spans="1:6" ht="15" x14ac:dyDescent="0.25">
      <c r="A24" s="64">
        <v>2012</v>
      </c>
      <c r="B24" t="s">
        <v>13</v>
      </c>
      <c r="C24" s="68">
        <v>1259633</v>
      </c>
      <c r="D24" s="63">
        <v>1259633</v>
      </c>
      <c r="E24" s="68">
        <v>0</v>
      </c>
      <c r="F24" s="63">
        <v>0</v>
      </c>
    </row>
    <row r="25" spans="1:6" ht="15" x14ac:dyDescent="0.25">
      <c r="A25" s="64">
        <v>2013</v>
      </c>
      <c r="B25" t="s">
        <v>13</v>
      </c>
      <c r="C25" s="68">
        <v>1812469</v>
      </c>
      <c r="D25" s="63">
        <v>1812469</v>
      </c>
      <c r="E25" s="68">
        <v>0</v>
      </c>
      <c r="F25" s="63">
        <v>0</v>
      </c>
    </row>
    <row r="26" spans="1:6" ht="15" x14ac:dyDescent="0.25">
      <c r="A26" s="64">
        <v>2014</v>
      </c>
      <c r="B26" t="s">
        <v>13</v>
      </c>
      <c r="C26" s="68">
        <v>2491124.4</v>
      </c>
      <c r="D26" s="63">
        <v>2490624.4</v>
      </c>
      <c r="E26" s="68">
        <v>500</v>
      </c>
      <c r="F26" s="63">
        <v>0</v>
      </c>
    </row>
    <row r="27" spans="1:6" ht="15" x14ac:dyDescent="0.25">
      <c r="A27" s="64">
        <v>2015</v>
      </c>
      <c r="B27" t="s">
        <v>13</v>
      </c>
      <c r="C27" s="68">
        <v>2530699</v>
      </c>
      <c r="D27" s="63">
        <v>2526599</v>
      </c>
      <c r="E27" s="68">
        <v>500</v>
      </c>
      <c r="F27" s="63">
        <v>0</v>
      </c>
    </row>
    <row r="28" spans="1:6" ht="15" x14ac:dyDescent="0.25">
      <c r="A28" s="64">
        <v>2016</v>
      </c>
      <c r="B28" t="s">
        <v>13</v>
      </c>
      <c r="C28" s="68">
        <v>6377824.7200000007</v>
      </c>
      <c r="D28" s="63">
        <v>6377824.7200000007</v>
      </c>
      <c r="E28" s="68">
        <v>4100</v>
      </c>
      <c r="F28" s="63">
        <v>0</v>
      </c>
    </row>
    <row r="29" spans="1:6" ht="15" x14ac:dyDescent="0.25">
      <c r="A29" s="64">
        <v>2017</v>
      </c>
      <c r="B29" t="s">
        <v>13</v>
      </c>
      <c r="C29" s="68">
        <v>7930286</v>
      </c>
      <c r="D29" s="63">
        <v>7929886</v>
      </c>
      <c r="E29" s="68">
        <v>5500</v>
      </c>
      <c r="F29" s="63">
        <v>0</v>
      </c>
    </row>
    <row r="30" spans="1:6" ht="15" x14ac:dyDescent="0.25">
      <c r="A30" s="64">
        <v>2018</v>
      </c>
      <c r="B30" t="s">
        <v>13</v>
      </c>
      <c r="C30" s="68">
        <v>24403360</v>
      </c>
      <c r="D30" s="63">
        <v>24385960</v>
      </c>
      <c r="E30" s="68">
        <v>33600</v>
      </c>
      <c r="F30" s="63">
        <v>0</v>
      </c>
    </row>
    <row r="31" spans="1:6" ht="15" x14ac:dyDescent="0.25">
      <c r="A31" s="64">
        <v>2019</v>
      </c>
      <c r="B31" t="s">
        <v>13</v>
      </c>
      <c r="C31" s="68">
        <v>40047899.019999996</v>
      </c>
      <c r="D31" s="63">
        <v>40005299.019999996</v>
      </c>
      <c r="E31" s="68">
        <v>88200</v>
      </c>
      <c r="F31" s="63">
        <v>5000</v>
      </c>
    </row>
    <row r="32" spans="1:6" ht="15" x14ac:dyDescent="0.25">
      <c r="A32" s="64">
        <v>2020</v>
      </c>
      <c r="B32" t="s">
        <v>13</v>
      </c>
      <c r="C32" s="68">
        <v>47710111</v>
      </c>
      <c r="D32" s="63">
        <v>47527711</v>
      </c>
      <c r="E32" s="68">
        <v>423400</v>
      </c>
      <c r="F32" s="63">
        <v>10000</v>
      </c>
    </row>
    <row r="33" spans="1:6" ht="15" x14ac:dyDescent="0.25">
      <c r="A33" s="64">
        <v>2021</v>
      </c>
      <c r="B33" t="s">
        <v>13</v>
      </c>
      <c r="C33" s="68">
        <v>89504571.88352941</v>
      </c>
      <c r="D33" s="63">
        <v>88168293.060000002</v>
      </c>
      <c r="E33" s="68">
        <v>1963080</v>
      </c>
      <c r="F33" s="63">
        <v>25300</v>
      </c>
    </row>
    <row r="34" spans="1:6" ht="15" x14ac:dyDescent="0.25">
      <c r="A34" s="64">
        <v>2022</v>
      </c>
      <c r="B34" t="s">
        <v>13</v>
      </c>
      <c r="C34" s="68">
        <v>169075137.15411767</v>
      </c>
      <c r="D34" s="63">
        <v>164568870.66000003</v>
      </c>
      <c r="E34" s="68">
        <v>4063970.2</v>
      </c>
      <c r="F34" s="63">
        <v>720640</v>
      </c>
    </row>
    <row r="35" spans="1:6" ht="15" x14ac:dyDescent="0.25">
      <c r="A35" s="64">
        <v>2023</v>
      </c>
      <c r="B35" t="s">
        <v>13</v>
      </c>
      <c r="C35" s="68">
        <v>257751988.33235297</v>
      </c>
      <c r="D35" s="63">
        <v>254204286.05000001</v>
      </c>
      <c r="E35" s="68">
        <v>4126534</v>
      </c>
      <c r="F35" s="63">
        <v>778400</v>
      </c>
    </row>
    <row r="36" spans="1:6" ht="15" x14ac:dyDescent="0.25">
      <c r="A36" s="64">
        <v>2024</v>
      </c>
      <c r="B36" t="s">
        <v>13</v>
      </c>
      <c r="C36" s="68">
        <v>482711878.26941168</v>
      </c>
      <c r="D36" s="63">
        <v>443156373.57999992</v>
      </c>
      <c r="E36" s="68">
        <v>41041166.850000001</v>
      </c>
      <c r="F36" s="63">
        <v>2730290.01</v>
      </c>
    </row>
    <row r="37" spans="1:6" ht="15" x14ac:dyDescent="0.25">
      <c r="A37" s="64">
        <v>2025</v>
      </c>
      <c r="B37" t="s">
        <v>13</v>
      </c>
      <c r="C37" s="68">
        <v>713369967.20352936</v>
      </c>
      <c r="D37" s="63">
        <v>582855377.49000001</v>
      </c>
      <c r="E37" s="68">
        <v>114361766.31999999</v>
      </c>
      <c r="F37" s="63">
        <v>24319802</v>
      </c>
    </row>
    <row r="38" spans="1:6" ht="15" x14ac:dyDescent="0.25">
      <c r="A38" s="64">
        <v>2015</v>
      </c>
      <c r="B38" t="s">
        <v>130</v>
      </c>
      <c r="C38" s="68">
        <v>0</v>
      </c>
      <c r="D38" s="63">
        <v>0</v>
      </c>
      <c r="E38" s="68">
        <v>0</v>
      </c>
      <c r="F38" s="63">
        <v>0</v>
      </c>
    </row>
    <row r="39" spans="1:6" ht="15" x14ac:dyDescent="0.25">
      <c r="A39" s="64">
        <v>2018</v>
      </c>
      <c r="B39" t="s">
        <v>130</v>
      </c>
      <c r="C39" s="68">
        <v>501794.58705882356</v>
      </c>
      <c r="D39" s="63">
        <v>501794.58705882356</v>
      </c>
      <c r="E39" s="68">
        <v>1445.2</v>
      </c>
      <c r="F39" s="63">
        <v>0</v>
      </c>
    </row>
    <row r="40" spans="1:6" ht="15" x14ac:dyDescent="0.25">
      <c r="A40" s="64">
        <v>2019</v>
      </c>
      <c r="B40" t="s">
        <v>130</v>
      </c>
      <c r="C40" s="68">
        <v>4668522.1058823522</v>
      </c>
      <c r="D40" s="63">
        <v>4668522.1058823522</v>
      </c>
      <c r="E40" s="68">
        <v>884</v>
      </c>
      <c r="F40" s="63">
        <v>0</v>
      </c>
    </row>
    <row r="41" spans="1:6" ht="15" x14ac:dyDescent="0.25">
      <c r="A41" s="64">
        <v>2020</v>
      </c>
      <c r="B41" t="s">
        <v>130</v>
      </c>
      <c r="C41" s="68">
        <v>8814161.6000000015</v>
      </c>
      <c r="D41" s="63">
        <v>8784274.6823529433</v>
      </c>
      <c r="E41" s="68">
        <v>62592.74</v>
      </c>
      <c r="F41" s="63">
        <v>0</v>
      </c>
    </row>
    <row r="42" spans="1:6" ht="15" x14ac:dyDescent="0.25">
      <c r="A42" s="64">
        <v>2021</v>
      </c>
      <c r="B42" t="s">
        <v>130</v>
      </c>
      <c r="C42" s="68">
        <v>5585974.08235294</v>
      </c>
      <c r="D42" s="63">
        <v>5402387.4823529404</v>
      </c>
      <c r="E42" s="68">
        <v>224511.8</v>
      </c>
      <c r="F42" s="63">
        <v>0</v>
      </c>
    </row>
    <row r="43" spans="1:6" ht="15" x14ac:dyDescent="0.25">
      <c r="A43" s="64">
        <v>2022</v>
      </c>
      <c r="B43" t="s">
        <v>130</v>
      </c>
      <c r="C43" s="68">
        <v>16768296.517647061</v>
      </c>
      <c r="D43" s="63">
        <v>16711089.047058826</v>
      </c>
      <c r="E43" s="68">
        <v>129909.87</v>
      </c>
      <c r="F43" s="63">
        <v>0</v>
      </c>
    </row>
    <row r="44" spans="1:6" ht="15" x14ac:dyDescent="0.25">
      <c r="A44" s="64">
        <v>2023</v>
      </c>
      <c r="B44" t="s">
        <v>130</v>
      </c>
      <c r="C44" s="68">
        <v>13684931.247058799</v>
      </c>
      <c r="D44" s="63">
        <v>13602865.658823505</v>
      </c>
      <c r="E44" s="68">
        <v>143346.16</v>
      </c>
      <c r="F44" s="63">
        <v>43278.752941176477</v>
      </c>
    </row>
    <row r="45" spans="1:6" ht="15" x14ac:dyDescent="0.25">
      <c r="A45" s="64">
        <v>2024</v>
      </c>
      <c r="B45" t="s">
        <v>130</v>
      </c>
      <c r="C45" s="68">
        <v>84954355.952940956</v>
      </c>
      <c r="D45" s="63">
        <v>83265219.988235086</v>
      </c>
      <c r="E45" s="68">
        <v>2123886.6800000002</v>
      </c>
      <c r="F45" s="63">
        <v>808903.16470588243</v>
      </c>
    </row>
    <row r="46" spans="1:6" ht="15" x14ac:dyDescent="0.25">
      <c r="A46" s="64">
        <v>2025</v>
      </c>
      <c r="B46" t="s">
        <v>130</v>
      </c>
      <c r="C46" s="68">
        <v>67637353.882352948</v>
      </c>
      <c r="D46" s="63">
        <v>62719293.376470603</v>
      </c>
      <c r="E46" s="68">
        <v>8142727.1529411739</v>
      </c>
      <c r="F46" s="63">
        <v>4312478.7647058833</v>
      </c>
    </row>
    <row r="47" spans="1:6" ht="15" x14ac:dyDescent="0.25">
      <c r="A47" s="64">
        <v>2009</v>
      </c>
      <c r="B47" t="s">
        <v>15</v>
      </c>
      <c r="C47" s="68">
        <v>1610</v>
      </c>
      <c r="D47" s="63">
        <v>1610</v>
      </c>
      <c r="E47" s="68">
        <v>0</v>
      </c>
      <c r="F47" s="63">
        <v>0</v>
      </c>
    </row>
    <row r="48" spans="1:6" ht="15" x14ac:dyDescent="0.25">
      <c r="A48" s="64">
        <v>2010</v>
      </c>
      <c r="B48" t="s">
        <v>15</v>
      </c>
      <c r="C48" s="68">
        <v>15240</v>
      </c>
      <c r="D48" s="63">
        <v>15240</v>
      </c>
      <c r="E48" s="68">
        <v>0</v>
      </c>
      <c r="F48" s="63">
        <v>0</v>
      </c>
    </row>
    <row r="49" spans="1:6" ht="15" x14ac:dyDescent="0.25">
      <c r="A49" s="64">
        <v>2011</v>
      </c>
      <c r="B49" t="s">
        <v>15</v>
      </c>
      <c r="C49" s="68">
        <v>27290</v>
      </c>
      <c r="D49" s="63">
        <v>27290</v>
      </c>
      <c r="E49" s="68">
        <v>0</v>
      </c>
      <c r="F49" s="63">
        <v>0</v>
      </c>
    </row>
    <row r="50" spans="1:6" ht="15" x14ac:dyDescent="0.25">
      <c r="A50" s="64">
        <v>2012</v>
      </c>
      <c r="B50" t="s">
        <v>15</v>
      </c>
      <c r="C50" s="68">
        <v>4500</v>
      </c>
      <c r="D50" s="63">
        <v>4500</v>
      </c>
      <c r="E50" s="68">
        <v>0</v>
      </c>
      <c r="F50" s="63">
        <v>0</v>
      </c>
    </row>
    <row r="51" spans="1:6" ht="15" x14ac:dyDescent="0.25">
      <c r="A51" s="64">
        <v>2013</v>
      </c>
      <c r="B51" t="s">
        <v>15</v>
      </c>
      <c r="C51" s="68">
        <v>8120</v>
      </c>
      <c r="D51" s="63">
        <v>8120</v>
      </c>
      <c r="E51" s="68">
        <v>0</v>
      </c>
      <c r="F51" s="63">
        <v>0</v>
      </c>
    </row>
    <row r="52" spans="1:6" ht="15" x14ac:dyDescent="0.25">
      <c r="A52" s="64">
        <v>2014</v>
      </c>
      <c r="B52" t="s">
        <v>15</v>
      </c>
      <c r="C52" s="68">
        <v>21450</v>
      </c>
      <c r="D52" s="63">
        <v>11350</v>
      </c>
      <c r="E52" s="68">
        <v>10100</v>
      </c>
      <c r="F52" s="63">
        <v>0</v>
      </c>
    </row>
    <row r="53" spans="1:6" ht="15" x14ac:dyDescent="0.25">
      <c r="A53" s="64">
        <v>2015</v>
      </c>
      <c r="B53" t="s">
        <v>15</v>
      </c>
      <c r="C53" s="68">
        <v>1602310</v>
      </c>
      <c r="D53" s="63">
        <v>1602310</v>
      </c>
      <c r="E53" s="68">
        <v>0</v>
      </c>
      <c r="F53" s="63">
        <v>0</v>
      </c>
    </row>
    <row r="54" spans="1:6" ht="15" x14ac:dyDescent="0.25">
      <c r="A54" s="64">
        <v>2016</v>
      </c>
      <c r="B54" t="s">
        <v>15</v>
      </c>
      <c r="C54" s="68">
        <v>3200</v>
      </c>
      <c r="D54" s="63">
        <v>3200</v>
      </c>
      <c r="E54" s="68">
        <v>0</v>
      </c>
      <c r="F54" s="63">
        <v>0</v>
      </c>
    </row>
    <row r="55" spans="1:6" ht="15" x14ac:dyDescent="0.25">
      <c r="A55" s="64">
        <v>2017</v>
      </c>
      <c r="B55" t="s">
        <v>15</v>
      </c>
      <c r="C55" s="68">
        <v>536814</v>
      </c>
      <c r="D55" s="63">
        <v>536814</v>
      </c>
      <c r="E55" s="68">
        <v>0</v>
      </c>
      <c r="F55" s="63">
        <v>0</v>
      </c>
    </row>
    <row r="56" spans="1:6" ht="15" x14ac:dyDescent="0.25">
      <c r="A56" s="64">
        <v>2018</v>
      </c>
      <c r="B56" t="s">
        <v>15</v>
      </c>
      <c r="C56" s="68">
        <v>172694.39999999999</v>
      </c>
      <c r="D56" s="63">
        <v>172694.39999999999</v>
      </c>
      <c r="E56" s="68">
        <v>0</v>
      </c>
      <c r="F56" s="63">
        <v>0</v>
      </c>
    </row>
    <row r="57" spans="1:6" ht="15" x14ac:dyDescent="0.25">
      <c r="A57" s="64">
        <v>2019</v>
      </c>
      <c r="B57" t="s">
        <v>15</v>
      </c>
      <c r="C57" s="68">
        <v>60901</v>
      </c>
      <c r="D57" s="63">
        <v>60901</v>
      </c>
      <c r="E57" s="68">
        <v>0</v>
      </c>
      <c r="F57" s="63">
        <v>0</v>
      </c>
    </row>
    <row r="58" spans="1:6" ht="15" x14ac:dyDescent="0.25">
      <c r="A58" s="64">
        <v>2020</v>
      </c>
      <c r="B58" t="s">
        <v>15</v>
      </c>
      <c r="C58" s="68">
        <v>23280</v>
      </c>
      <c r="D58" s="63">
        <v>1320</v>
      </c>
      <c r="E58" s="68">
        <v>21960</v>
      </c>
      <c r="F58" s="63">
        <v>0</v>
      </c>
    </row>
    <row r="59" spans="1:6" ht="15" x14ac:dyDescent="0.25">
      <c r="A59" s="64">
        <v>2021</v>
      </c>
      <c r="B59" t="s">
        <v>15</v>
      </c>
      <c r="C59" s="68">
        <v>198790</v>
      </c>
      <c r="D59" s="63">
        <v>198790</v>
      </c>
      <c r="E59" s="68">
        <v>0</v>
      </c>
      <c r="F59" s="63">
        <v>0</v>
      </c>
    </row>
    <row r="60" spans="1:6" ht="15" x14ac:dyDescent="0.25">
      <c r="A60" s="64">
        <v>2022</v>
      </c>
      <c r="B60" t="s">
        <v>15</v>
      </c>
      <c r="C60" s="68">
        <v>438744.5</v>
      </c>
      <c r="D60" s="63">
        <v>438744.5</v>
      </c>
      <c r="E60" s="68">
        <v>0</v>
      </c>
      <c r="F60" s="63">
        <v>0</v>
      </c>
    </row>
    <row r="61" spans="1:6" ht="15" x14ac:dyDescent="0.25">
      <c r="A61" s="64">
        <v>2023</v>
      </c>
      <c r="B61" t="s">
        <v>15</v>
      </c>
      <c r="C61" s="68">
        <v>441711</v>
      </c>
      <c r="D61" s="63">
        <v>441711</v>
      </c>
      <c r="E61" s="68">
        <v>0</v>
      </c>
      <c r="F61" s="63">
        <v>0</v>
      </c>
    </row>
    <row r="62" spans="1:6" ht="15" x14ac:dyDescent="0.25">
      <c r="A62" s="64">
        <v>2024</v>
      </c>
      <c r="B62" t="s">
        <v>15</v>
      </c>
      <c r="C62" s="68">
        <v>3959338.7099999995</v>
      </c>
      <c r="D62" s="63">
        <v>3959188.7099999995</v>
      </c>
      <c r="E62" s="68">
        <v>150</v>
      </c>
      <c r="F62" s="63">
        <v>0</v>
      </c>
    </row>
    <row r="63" spans="1:6" ht="15" x14ac:dyDescent="0.25">
      <c r="A63" s="64">
        <v>2025</v>
      </c>
      <c r="B63" t="s">
        <v>15</v>
      </c>
      <c r="C63" s="68">
        <v>97553508.399999976</v>
      </c>
      <c r="D63" s="63">
        <v>78236733.619999975</v>
      </c>
      <c r="E63" s="68">
        <v>19281574.780000001</v>
      </c>
      <c r="F63" s="63">
        <v>35200</v>
      </c>
    </row>
  </sheetData>
  <autoFilter ref="A1:F63" xr:uid="{11A7E0F7-AF46-43FB-8C0F-822BED4C73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20</vt:i4>
      </vt:variant>
    </vt:vector>
  </HeadingPairs>
  <TitlesOfParts>
    <vt:vector size="20" baseType="lpstr">
      <vt:lpstr>الايراد لنهاية السنة</vt:lpstr>
      <vt:lpstr>الايراد حتى تاريخه</vt:lpstr>
      <vt:lpstr>الايراد الشهر الحالي</vt:lpstr>
      <vt:lpstr>القطاع</vt:lpstr>
      <vt:lpstr>الايرادات_الاستثمارية</vt:lpstr>
      <vt:lpstr>الجزاءات والتبغ والايواء</vt:lpstr>
      <vt:lpstr>استقطاع</vt:lpstr>
      <vt:lpstr>الاستقطاع_الامانات_الاخرى</vt:lpstr>
      <vt:lpstr> السناريو_الاول_للاقفال</vt:lpstr>
      <vt:lpstr> السناريو_الثاني_للاقفال</vt:lpstr>
      <vt:lpstr>الجزائات والغرامات</vt:lpstr>
      <vt:lpstr>التنفيذ_والاسترداد</vt:lpstr>
      <vt:lpstr>المفوتر</vt:lpstr>
      <vt:lpstr>الميزانية الاعتماد الأصلي</vt:lpstr>
      <vt:lpstr>الميزانية بعد  الاعتماد</vt:lpstr>
      <vt:lpstr>مستهدف المفوتر</vt:lpstr>
      <vt:lpstr>Sheet1</vt:lpstr>
      <vt:lpstr>مفوتر تبويبات الوزارة</vt:lpstr>
      <vt:lpstr>مستهدف الوزارة </vt:lpstr>
      <vt:lpstr>المديونية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Mouawad</dc:creator>
  <cp:keywords/>
  <dc:description/>
  <cp:lastModifiedBy>faisal alateeq</cp:lastModifiedBy>
  <cp:revision/>
  <dcterms:created xsi:type="dcterms:W3CDTF">2025-11-18T06:40:20Z</dcterms:created>
  <dcterms:modified xsi:type="dcterms:W3CDTF">2026-10-10T08:34:04Z</dcterms:modified>
  <cp:category/>
  <cp:contentStatus/>
</cp:coreProperties>
</file>