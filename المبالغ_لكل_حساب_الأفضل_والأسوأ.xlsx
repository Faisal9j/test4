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بالغ لكل حساب" sheetId="1" state="visible" r:id="rId1"/>
  </sheets>
  <definedNames>
    <definedName name="_xlnm._FilterDatabase" localSheetId="0" hidden="1">'المبالغ لكل حساب'!$A$5:$Q$46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4" fontId="4" fillId="5" borderId="1" pivotButton="0" quotePrefix="0" xfId="0"/>
    <xf numFmtId="164" fontId="4" fillId="6" borderId="1" pivotButton="0" quotePrefix="0" xfId="0"/>
    <xf numFmtId="9" fontId="4" fillId="0" borderId="1" pivotButton="0" quotePrefix="0" xfId="0"/>
    <xf numFmtId="0" fontId="5" fillId="7" borderId="1" pivotButton="0" quotePrefix="0" xfId="0"/>
    <xf numFmtId="164" fontId="5" fillId="7" borderId="1" pivotButton="0" quotePrefix="0" xfId="0"/>
    <xf numFmtId="9" fontId="5" fillId="7" borderId="1" pivotButton="0" quotePrefix="0" xfId="0"/>
    <xf numFmtId="0" fontId="5" fillId="8" borderId="1" pivotButton="0" quotePrefix="0" xfId="0"/>
    <xf numFmtId="164" fontId="5" fillId="8" borderId="1" pivotButton="0" quotePrefix="0" xfId="0"/>
    <xf numFmtId="9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rightToLeft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المبالغ لكل حساب في السيناريو الأفضل والسيناريو الأسوأ — إقفال 2026 (بدون الضريبة، بالريال)</t>
        </is>
      </c>
    </row>
    <row r="2">
      <c r="A2" s="2" t="inlineStr">
        <is>
          <t>الفعلي حتى سبتمبر من ملف المراقبة (قبل الاستقطاع). أكتوبر يشمل المحصل حتى تاريخه. الأفضل = عمود "أساسي" في ملفك المعدّل، والأسوأ = عمود "أسوأ". الحسابات الصفرية في السيناريوهين مستبعدة.</t>
        </is>
      </c>
    </row>
    <row r="4">
      <c r="A4" s="3" t="n"/>
      <c r="B4" s="3" t="n"/>
      <c r="C4" s="3" t="n"/>
      <c r="D4" s="3" t="n"/>
      <c r="E4" s="4" t="inlineStr">
        <is>
          <t>السيناريو الأفضل</t>
        </is>
      </c>
      <c r="F4" s="3" t="n"/>
      <c r="G4" s="3" t="n"/>
      <c r="H4" s="3" t="n"/>
      <c r="I4" s="3" t="n"/>
      <c r="J4" s="5" t="inlineStr">
        <is>
          <t>السيناريو الأسوأ</t>
        </is>
      </c>
      <c r="K4" s="3" t="n"/>
      <c r="L4" s="3" t="n"/>
      <c r="M4" s="3" t="n"/>
      <c r="N4" s="3" t="n"/>
      <c r="O4" s="3" t="n"/>
      <c r="P4" s="3" t="n"/>
      <c r="Q4" s="3" t="n"/>
    </row>
    <row r="5" ht="32" customHeight="1">
      <c r="A5" s="3" t="inlineStr">
        <is>
          <t>التبويب</t>
        </is>
      </c>
      <c r="B5" s="3" t="inlineStr">
        <is>
          <t>رقم الحساب</t>
        </is>
      </c>
      <c r="C5" s="3" t="inlineStr">
        <is>
          <t>اسم الحساب</t>
        </is>
      </c>
      <c r="D5" s="3" t="inlineStr">
        <is>
          <t>الفعلي حتى سبتمبر</t>
        </is>
      </c>
      <c r="E5" s="3" t="inlineStr">
        <is>
          <t>أكتوبر</t>
        </is>
      </c>
      <c r="F5" s="3" t="inlineStr">
        <is>
          <t>نوفمبر</t>
        </is>
      </c>
      <c r="G5" s="3" t="inlineStr">
        <is>
          <t>ديسمبر</t>
        </is>
      </c>
      <c r="H5" s="3" t="inlineStr">
        <is>
          <t>أكتوبر–ديسمبر</t>
        </is>
      </c>
      <c r="I5" s="3" t="inlineStr">
        <is>
          <t>الإقفال</t>
        </is>
      </c>
      <c r="J5" s="3" t="inlineStr">
        <is>
          <t>أكتوبر</t>
        </is>
      </c>
      <c r="K5" s="3" t="inlineStr">
        <is>
          <t>نوفمبر</t>
        </is>
      </c>
      <c r="L5" s="3" t="inlineStr">
        <is>
          <t>ديسمبر</t>
        </is>
      </c>
      <c r="M5" s="3" t="inlineStr">
        <is>
          <t>أكتوبر–ديسمبر</t>
        </is>
      </c>
      <c r="N5" s="3" t="inlineStr">
        <is>
          <t>الإقفال</t>
        </is>
      </c>
      <c r="O5" s="3" t="inlineStr">
        <is>
          <t>المستهدف السنوي</t>
        </is>
      </c>
      <c r="P5" s="3" t="inlineStr">
        <is>
          <t>الأفضل ÷ المستهدف</t>
        </is>
      </c>
      <c r="Q5" s="3" t="inlineStr">
        <is>
          <t>الأسوأ ÷ المستهدف</t>
        </is>
      </c>
    </row>
    <row r="6">
      <c r="A6" s="6" t="inlineStr">
        <is>
          <t>إيرادات إستثمارية</t>
        </is>
      </c>
      <c r="B6" s="6" t="inlineStr">
        <is>
          <t>142162</t>
        </is>
      </c>
      <c r="C6" s="6" t="inlineStr">
        <is>
          <t>إيرادات  تأجير المرافق</t>
        </is>
      </c>
      <c r="D6" s="7" t="n">
        <v>428392037.77</v>
      </c>
      <c r="E6" s="7" t="n">
        <v>29528868.84</v>
      </c>
      <c r="F6" s="7" t="n">
        <v>441008548.03</v>
      </c>
      <c r="G6" s="7" t="n">
        <v>17785538.35</v>
      </c>
      <c r="H6" s="7">
        <f>E6+F6+G6</f>
        <v/>
      </c>
      <c r="I6" s="8">
        <f>D6+H6</f>
        <v/>
      </c>
      <c r="J6" s="7" t="n">
        <v>322955.69</v>
      </c>
      <c r="K6" s="7" t="n">
        <v>72372.69</v>
      </c>
      <c r="L6" s="7" t="n">
        <v>85577.31</v>
      </c>
      <c r="M6" s="7">
        <f>J6+K6+L6</f>
        <v/>
      </c>
      <c r="N6" s="9">
        <f>D6+M6</f>
        <v/>
      </c>
      <c r="O6" s="7" t="n">
        <v>1003276063.14</v>
      </c>
      <c r="P6" s="10">
        <f>IF(O6=0,"",I6/O6)</f>
        <v/>
      </c>
      <c r="Q6" s="10">
        <f>IF(O6=0,"",N6/O6)</f>
        <v/>
      </c>
    </row>
    <row r="7">
      <c r="A7" s="6" t="inlineStr">
        <is>
          <t>إيرادات إستثمارية</t>
        </is>
      </c>
      <c r="B7" s="6" t="inlineStr">
        <is>
          <t>14155</t>
        </is>
      </c>
      <c r="C7" s="6" t="inlineStr">
        <is>
          <t>ريع الأراضي (تأجير الأراض )</t>
        </is>
      </c>
      <c r="D7" s="7" t="n">
        <v>612328416.96</v>
      </c>
      <c r="E7" s="7" t="n">
        <v>111711994.47</v>
      </c>
      <c r="F7" s="7" t="n">
        <v>31460067.15</v>
      </c>
      <c r="G7" s="7" t="n">
        <v>20159747.42</v>
      </c>
      <c r="H7" s="7">
        <f>E7+F7+G7</f>
        <v/>
      </c>
      <c r="I7" s="8">
        <f>D7+H7</f>
        <v/>
      </c>
      <c r="J7" s="7" t="n">
        <v>44284437.89</v>
      </c>
      <c r="K7" s="7" t="n">
        <v>77297457.91</v>
      </c>
      <c r="L7" s="7" t="n">
        <v>41749912.96</v>
      </c>
      <c r="M7" s="7">
        <f>J7+K7+L7</f>
        <v/>
      </c>
      <c r="N7" s="9">
        <f>D7+M7</f>
        <v/>
      </c>
      <c r="O7" s="7" t="n">
        <v>736893407.92</v>
      </c>
      <c r="P7" s="10">
        <f>IF(O7=0,"",I7/O7)</f>
        <v/>
      </c>
      <c r="Q7" s="10">
        <f>IF(O7=0,"",N7/O7)</f>
        <v/>
      </c>
    </row>
    <row r="8">
      <c r="A8" s="6" t="inlineStr">
        <is>
          <t>إيرادات إستثمارية</t>
        </is>
      </c>
      <c r="B8" s="6" t="inlineStr">
        <is>
          <t>142163</t>
        </is>
      </c>
      <c r="C8" s="6" t="inlineStr">
        <is>
          <t>إيرادات  تأجير مباني تجارية</t>
        </is>
      </c>
      <c r="D8" s="7" t="n">
        <v>9866784.26</v>
      </c>
      <c r="E8" s="7" t="n">
        <v>1438875</v>
      </c>
      <c r="F8" s="7" t="n">
        <v>1393808.8</v>
      </c>
      <c r="G8" s="7" t="n">
        <v>458182.7</v>
      </c>
      <c r="H8" s="7">
        <f>E8+F8+G8</f>
        <v/>
      </c>
      <c r="I8" s="8">
        <f>D8+H8</f>
        <v/>
      </c>
      <c r="J8" s="7" t="n">
        <v>380080</v>
      </c>
      <c r="K8" s="7" t="n">
        <v>449091.47</v>
      </c>
      <c r="L8" s="7" t="n">
        <v>147628.53</v>
      </c>
      <c r="M8" s="7">
        <f>J8+K8+L8</f>
        <v/>
      </c>
      <c r="N8" s="9">
        <f>D8+M8</f>
        <v/>
      </c>
      <c r="O8" s="7" t="n">
        <v>52395049.27</v>
      </c>
      <c r="P8" s="10">
        <f>IF(O8=0,"",I8/O8)</f>
        <v/>
      </c>
      <c r="Q8" s="10">
        <f>IF(O8=0,"",N8/O8)</f>
        <v/>
      </c>
    </row>
    <row r="9">
      <c r="A9" s="6" t="inlineStr">
        <is>
          <t>إيرادات إستثمارية</t>
        </is>
      </c>
      <c r="B9" s="6" t="inlineStr">
        <is>
          <t>1421912</t>
        </is>
      </c>
      <c r="C9" s="6" t="inlineStr">
        <is>
          <t>تأجير العقارات لأغراض مؤقته</t>
        </is>
      </c>
      <c r="D9" s="7" t="n">
        <v>1356112.55</v>
      </c>
      <c r="E9" s="7" t="n">
        <v>439507.53</v>
      </c>
      <c r="F9" s="7" t="n">
        <v>194277.38</v>
      </c>
      <c r="G9" s="7" t="n">
        <v>78354.36</v>
      </c>
      <c r="H9" s="7">
        <f>E9+F9+G9</f>
        <v/>
      </c>
      <c r="I9" s="8">
        <f>D9+H9</f>
        <v/>
      </c>
      <c r="J9" s="7" t="n">
        <v>439507.53</v>
      </c>
      <c r="K9" s="7" t="n">
        <v>187145.09</v>
      </c>
      <c r="L9" s="7" t="n">
        <v>75477.83</v>
      </c>
      <c r="M9" s="7">
        <f>J9+K9+L9</f>
        <v/>
      </c>
      <c r="N9" s="9">
        <f>D9+M9</f>
        <v/>
      </c>
      <c r="O9" s="7" t="n">
        <v>2480385.75</v>
      </c>
      <c r="P9" s="10">
        <f>IF(O9=0,"",I9/O9)</f>
        <v/>
      </c>
      <c r="Q9" s="10">
        <f>IF(O9=0,"",N9/O9)</f>
        <v/>
      </c>
    </row>
    <row r="10">
      <c r="A10" s="6" t="inlineStr">
        <is>
          <t>إيرادات إستثمارية</t>
        </is>
      </c>
      <c r="B10" s="6" t="inlineStr">
        <is>
          <t>141229</t>
        </is>
      </c>
      <c r="C10" s="6" t="inlineStr">
        <is>
          <t>أرباح أخرى</t>
        </is>
      </c>
      <c r="D10" s="7" t="n">
        <v>60000</v>
      </c>
      <c r="E10" s="7" t="n">
        <v>60314</v>
      </c>
      <c r="F10" s="7" t="n">
        <v>30000</v>
      </c>
      <c r="G10" s="7" t="n">
        <v>0</v>
      </c>
      <c r="H10" s="7">
        <f>E10+F10+G10</f>
        <v/>
      </c>
      <c r="I10" s="8">
        <f>D10+H10</f>
        <v/>
      </c>
      <c r="J10" s="7" t="n">
        <v>60314</v>
      </c>
      <c r="K10" s="7" t="n">
        <v>0</v>
      </c>
      <c r="L10" s="7" t="n">
        <v>0</v>
      </c>
      <c r="M10" s="7">
        <f>J10+K10+L10</f>
        <v/>
      </c>
      <c r="N10" s="9">
        <f>D10+M10</f>
        <v/>
      </c>
      <c r="O10" s="7" t="n">
        <v>30000000</v>
      </c>
      <c r="P10" s="10">
        <f>IF(O10=0,"",I10/O10)</f>
        <v/>
      </c>
      <c r="Q10" s="10">
        <f>IF(O10=0,"",N10/O10)</f>
        <v/>
      </c>
    </row>
    <row r="11">
      <c r="A11" s="6" t="inlineStr">
        <is>
          <t>إيرادات إستثمارية</t>
        </is>
      </c>
      <c r="B11" s="6" t="inlineStr">
        <is>
          <t>1421903</t>
        </is>
      </c>
      <c r="C11" s="6" t="inlineStr">
        <is>
          <t>مبيعات التيار الكهربائي</t>
        </is>
      </c>
      <c r="D11" s="7" t="n">
        <v>143551.39</v>
      </c>
      <c r="E11" s="7" t="n">
        <v>0</v>
      </c>
      <c r="F11" s="7" t="n">
        <v>0</v>
      </c>
      <c r="G11" s="7" t="n">
        <v>0</v>
      </c>
      <c r="H11" s="7">
        <f>E11+F11+G11</f>
        <v/>
      </c>
      <c r="I11" s="8">
        <f>D11+H11</f>
        <v/>
      </c>
      <c r="J11" s="7" t="n">
        <v>0</v>
      </c>
      <c r="K11" s="7" t="n">
        <v>0</v>
      </c>
      <c r="L11" s="7" t="n">
        <v>0</v>
      </c>
      <c r="M11" s="7">
        <f>J11+K11+L11</f>
        <v/>
      </c>
      <c r="N11" s="9">
        <f>D11+M11</f>
        <v/>
      </c>
      <c r="O11" s="7" t="n">
        <v>2391821</v>
      </c>
      <c r="P11" s="10">
        <f>IF(O11=0,"",I11/O11)</f>
        <v/>
      </c>
      <c r="Q11" s="10">
        <f>IF(O11=0,"",N11/O11)</f>
        <v/>
      </c>
    </row>
    <row r="12">
      <c r="A12" s="6" t="inlineStr">
        <is>
          <t>إيرادات إستثمارية</t>
        </is>
      </c>
      <c r="B12" s="6" t="inlineStr">
        <is>
          <t>1422103</t>
        </is>
      </c>
      <c r="C12" s="6" t="inlineStr">
        <is>
          <t>تراخيص المحلات</t>
        </is>
      </c>
      <c r="D12" s="7" t="n">
        <v>0</v>
      </c>
      <c r="E12" s="7" t="n">
        <v>150</v>
      </c>
      <c r="F12" s="7" t="n">
        <v>628.53</v>
      </c>
      <c r="G12" s="7" t="n">
        <v>111.27</v>
      </c>
      <c r="H12" s="7">
        <f>E12+F12+G12</f>
        <v/>
      </c>
      <c r="I12" s="8">
        <f>D12+H12</f>
        <v/>
      </c>
      <c r="J12" s="7" t="n">
        <v>0</v>
      </c>
      <c r="K12" s="7" t="n">
        <v>96.84999999999999</v>
      </c>
      <c r="L12" s="7" t="n">
        <v>17.15</v>
      </c>
      <c r="M12" s="7">
        <f>J12+K12+L12</f>
        <v/>
      </c>
      <c r="N12" s="9">
        <f>D12+M12</f>
        <v/>
      </c>
      <c r="O12" s="7" t="n">
        <v>0</v>
      </c>
      <c r="P12" s="10">
        <f>IF(O12=0,"",I12/O12)</f>
        <v/>
      </c>
      <c r="Q12" s="10">
        <f>IF(O12=0,"",N12/O12)</f>
        <v/>
      </c>
    </row>
    <row r="13">
      <c r="A13" s="11" t="inlineStr">
        <is>
          <t>إيرادات إستثمارية</t>
        </is>
      </c>
      <c r="B13" s="11" t="n"/>
      <c r="C13" s="11" t="inlineStr">
        <is>
          <t>إجمالي إيرادات إستثمارية</t>
        </is>
      </c>
      <c r="D13" s="12">
        <f>SUM(D6:D12)</f>
        <v/>
      </c>
      <c r="E13" s="12">
        <f>SUM(E6:E12)</f>
        <v/>
      </c>
      <c r="F13" s="12">
        <f>SUM(F6:F12)</f>
        <v/>
      </c>
      <c r="G13" s="12">
        <f>SUM(G6:G12)</f>
        <v/>
      </c>
      <c r="H13" s="12">
        <f>SUM(H6:H12)</f>
        <v/>
      </c>
      <c r="I13" s="12">
        <f>SUM(I6:I12)</f>
        <v/>
      </c>
      <c r="J13" s="12">
        <f>SUM(J6:J12)</f>
        <v/>
      </c>
      <c r="K13" s="12">
        <f>SUM(K6:K12)</f>
        <v/>
      </c>
      <c r="L13" s="12">
        <f>SUM(L6:L12)</f>
        <v/>
      </c>
      <c r="M13" s="12">
        <f>SUM(M6:M12)</f>
        <v/>
      </c>
      <c r="N13" s="12">
        <f>SUM(N6:N12)</f>
        <v/>
      </c>
      <c r="O13" s="12">
        <f>SUM(O6:O12)</f>
        <v/>
      </c>
      <c r="P13" s="13">
        <f>IF(O13=0,"",I13/O13)</f>
        <v/>
      </c>
      <c r="Q13" s="13">
        <f>IF(O13=0,"",N13/O13)</f>
        <v/>
      </c>
    </row>
    <row r="14">
      <c r="A14" s="6" t="inlineStr">
        <is>
          <t>الرسوم والتراخيص</t>
        </is>
      </c>
      <c r="B14" s="6" t="inlineStr">
        <is>
          <t>11452104</t>
        </is>
      </c>
      <c r="C14" s="6" t="inlineStr">
        <is>
          <t>إصدار رخص الأنشطة التجارية</t>
        </is>
      </c>
      <c r="D14" s="7" t="n">
        <v>246600923.65</v>
      </c>
      <c r="E14" s="7" t="n">
        <v>31938287.19</v>
      </c>
      <c r="F14" s="7" t="n">
        <v>25406547.17</v>
      </c>
      <c r="G14" s="7" t="n">
        <v>33214927.61</v>
      </c>
      <c r="H14" s="7">
        <f>E14+F14+G14</f>
        <v/>
      </c>
      <c r="I14" s="8">
        <f>D14+H14</f>
        <v/>
      </c>
      <c r="J14" s="7" t="n">
        <v>23888796.32</v>
      </c>
      <c r="K14" s="7" t="n">
        <v>19715941.5</v>
      </c>
      <c r="L14" s="7" t="n">
        <v>25775386.38</v>
      </c>
      <c r="M14" s="7">
        <f>J14+K14+L14</f>
        <v/>
      </c>
      <c r="N14" s="9">
        <f>D14+M14</f>
        <v/>
      </c>
      <c r="O14" s="7" t="n">
        <v>315914658.85</v>
      </c>
      <c r="P14" s="10">
        <f>IF(O14=0,"",I14/O14)</f>
        <v/>
      </c>
      <c r="Q14" s="10">
        <f>IF(O14=0,"",N14/O14)</f>
        <v/>
      </c>
    </row>
    <row r="15">
      <c r="A15" s="6" t="inlineStr">
        <is>
          <t>الرسوم والتراخيص</t>
        </is>
      </c>
      <c r="B15" s="6" t="inlineStr">
        <is>
          <t>11452103</t>
        </is>
      </c>
      <c r="C15" s="6" t="inlineStr">
        <is>
          <t>ايراد اصدار تراخيص المباني والاسوار - أمانة منطقة الرياض</t>
        </is>
      </c>
      <c r="D15" s="7" t="n">
        <v>203647636.8</v>
      </c>
      <c r="E15" s="7" t="n">
        <v>21137195.58</v>
      </c>
      <c r="F15" s="7" t="n">
        <v>15671685.66</v>
      </c>
      <c r="G15" s="7" t="n">
        <v>19340819.95</v>
      </c>
      <c r="H15" s="7">
        <f>E15+F15+G15</f>
        <v/>
      </c>
      <c r="I15" s="8">
        <f>D15+H15</f>
        <v/>
      </c>
      <c r="J15" s="7" t="n">
        <v>18226070.37</v>
      </c>
      <c r="K15" s="7" t="n">
        <v>16530910.72</v>
      </c>
      <c r="L15" s="7" t="n">
        <v>21392720.2</v>
      </c>
      <c r="M15" s="7">
        <f>J15+K15+L15</f>
        <v/>
      </c>
      <c r="N15" s="9">
        <f>D15+M15</f>
        <v/>
      </c>
      <c r="O15" s="7" t="n">
        <v>317404423.99</v>
      </c>
      <c r="P15" s="10">
        <f>IF(O15=0,"",I15/O15)</f>
        <v/>
      </c>
      <c r="Q15" s="10">
        <f>IF(O15=0,"",N15/O15)</f>
        <v/>
      </c>
    </row>
    <row r="16">
      <c r="A16" s="6" t="inlineStr">
        <is>
          <t>الرسوم والتراخيص</t>
        </is>
      </c>
      <c r="B16" s="6" t="inlineStr">
        <is>
          <t>11452512</t>
        </is>
      </c>
      <c r="C16" s="6" t="inlineStr">
        <is>
          <t>ايرادات لوحات المحلات</t>
        </is>
      </c>
      <c r="D16" s="7" t="n">
        <v>174065059.34</v>
      </c>
      <c r="E16" s="7" t="n">
        <v>21153775.33</v>
      </c>
      <c r="F16" s="7" t="n">
        <v>12530409.78</v>
      </c>
      <c r="G16" s="7" t="n">
        <v>17681090.54</v>
      </c>
      <c r="H16" s="7">
        <f>E16+F16+G16</f>
        <v/>
      </c>
      <c r="I16" s="8">
        <f>D16+H16</f>
        <v/>
      </c>
      <c r="J16" s="7" t="n">
        <v>17387315.02</v>
      </c>
      <c r="K16" s="7" t="n">
        <v>14168809.72</v>
      </c>
      <c r="L16" s="7" t="n">
        <v>19809151.24</v>
      </c>
      <c r="M16" s="7">
        <f>J16+K16+L16</f>
        <v/>
      </c>
      <c r="N16" s="9">
        <f>D16+M16</f>
        <v/>
      </c>
      <c r="O16" s="7" t="n">
        <v>248231484.51</v>
      </c>
      <c r="P16" s="10">
        <f>IF(O16=0,"",I16/O16)</f>
        <v/>
      </c>
      <c r="Q16" s="10">
        <f>IF(O16=0,"",N16/O16)</f>
        <v/>
      </c>
    </row>
    <row r="17">
      <c r="A17" s="6" t="inlineStr">
        <is>
          <t>الرسوم والتراخيص</t>
        </is>
      </c>
      <c r="B17" s="6" t="inlineStr">
        <is>
          <t>142113</t>
        </is>
      </c>
      <c r="C17" s="6" t="inlineStr">
        <is>
          <t>ايرادات  اللوحات الدعائية</t>
        </is>
      </c>
      <c r="D17" s="7" t="n">
        <v>122668498.99</v>
      </c>
      <c r="E17" s="7" t="n">
        <v>6216221.1</v>
      </c>
      <c r="F17" s="7" t="n">
        <v>5908572.68</v>
      </c>
      <c r="G17" s="7" t="n">
        <v>6110763.22</v>
      </c>
      <c r="H17" s="7">
        <f>E17+F17+G17</f>
        <v/>
      </c>
      <c r="I17" s="8">
        <f>D17+H17</f>
        <v/>
      </c>
      <c r="J17" s="7" t="n">
        <v>5761360.09</v>
      </c>
      <c r="K17" s="7" t="n">
        <v>5801749.14</v>
      </c>
      <c r="L17" s="7" t="n">
        <v>6672448.11</v>
      </c>
      <c r="M17" s="7">
        <f>J17+K17+L17</f>
        <v/>
      </c>
      <c r="N17" s="9">
        <f>D17+M17</f>
        <v/>
      </c>
      <c r="O17" s="7" t="n">
        <v>90076239.39</v>
      </c>
      <c r="P17" s="10">
        <f>IF(O17=0,"",I17/O17)</f>
        <v/>
      </c>
      <c r="Q17" s="10">
        <f>IF(O17=0,"",N17/O17)</f>
        <v/>
      </c>
    </row>
    <row r="18">
      <c r="A18" s="6" t="inlineStr">
        <is>
          <t>الرسوم والتراخيص</t>
        </is>
      </c>
      <c r="B18" s="6" t="inlineStr">
        <is>
          <t>1421909</t>
        </is>
      </c>
      <c r="C18" s="6" t="inlineStr">
        <is>
          <t>جمع النفايات</t>
        </is>
      </c>
      <c r="D18" s="7" t="n">
        <v>72230227.43000001</v>
      </c>
      <c r="E18" s="7" t="n">
        <v>9308085.529999999</v>
      </c>
      <c r="F18" s="7" t="n">
        <v>8478180.859999999</v>
      </c>
      <c r="G18" s="7" t="n">
        <v>10146996.77</v>
      </c>
      <c r="H18" s="7">
        <f>E18+F18+G18</f>
        <v/>
      </c>
      <c r="I18" s="8">
        <f>D18+H18</f>
        <v/>
      </c>
      <c r="J18" s="7" t="n">
        <v>6611666.54</v>
      </c>
      <c r="K18" s="7" t="n">
        <v>5425115.7</v>
      </c>
      <c r="L18" s="7" t="n">
        <v>6492976.78</v>
      </c>
      <c r="M18" s="7">
        <f>J18+K18+L18</f>
        <v/>
      </c>
      <c r="N18" s="9">
        <f>D18+M18</f>
        <v/>
      </c>
      <c r="O18" s="7" t="n">
        <v>97842756.87</v>
      </c>
      <c r="P18" s="10">
        <f>IF(O18=0,"",I18/O18)</f>
        <v/>
      </c>
      <c r="Q18" s="10">
        <f>IF(O18=0,"",N18/O18)</f>
        <v/>
      </c>
    </row>
    <row r="19">
      <c r="A19" s="6" t="inlineStr">
        <is>
          <t>الرسوم والتراخيص</t>
        </is>
      </c>
      <c r="B19" s="6" t="inlineStr">
        <is>
          <t>11452108</t>
        </is>
      </c>
      <c r="C19" s="6" t="inlineStr">
        <is>
          <t>ايراد اصدار القرارات المساحية - أمانة منطقة الرياض</t>
        </is>
      </c>
      <c r="D19" s="7" t="n">
        <v>31027927.24</v>
      </c>
      <c r="E19" s="7" t="n">
        <v>2845292.35</v>
      </c>
      <c r="F19" s="7" t="n">
        <v>2292170.62</v>
      </c>
      <c r="G19" s="7" t="n">
        <v>3170581.1</v>
      </c>
      <c r="H19" s="7">
        <f>E19+F19+G19</f>
        <v/>
      </c>
      <c r="I19" s="8">
        <f>D19+H19</f>
        <v/>
      </c>
      <c r="J19" s="7" t="n">
        <v>2067255.85</v>
      </c>
      <c r="K19" s="7" t="n">
        <v>706748.34</v>
      </c>
      <c r="L19" s="7" t="n">
        <v>977589.9300000001</v>
      </c>
      <c r="M19" s="7">
        <f>J19+K19+L19</f>
        <v/>
      </c>
      <c r="N19" s="9">
        <f>D19+M19</f>
        <v/>
      </c>
      <c r="O19" s="7" t="n">
        <v>30799388.59</v>
      </c>
      <c r="P19" s="10">
        <f>IF(O19=0,"",I19/O19)</f>
        <v/>
      </c>
      <c r="Q19" s="10">
        <f>IF(O19=0,"",N19/O19)</f>
        <v/>
      </c>
    </row>
    <row r="20">
      <c r="A20" s="6" t="inlineStr">
        <is>
          <t>الرسوم والتراخيص</t>
        </is>
      </c>
      <c r="B20" s="6" t="inlineStr">
        <is>
          <t>1422108</t>
        </is>
      </c>
      <c r="C20" s="6" t="inlineStr">
        <is>
          <t>الشهادات الصحية</t>
        </is>
      </c>
      <c r="D20" s="7" t="n">
        <v>17609402.19</v>
      </c>
      <c r="E20" s="7" t="n">
        <v>3359320.03</v>
      </c>
      <c r="F20" s="7" t="n">
        <v>2406211.14</v>
      </c>
      <c r="G20" s="7" t="n">
        <v>2182292.18</v>
      </c>
      <c r="H20" s="7">
        <f>E20+F20+G20</f>
        <v/>
      </c>
      <c r="I20" s="8">
        <f>D20+H20</f>
        <v/>
      </c>
      <c r="J20" s="7" t="n">
        <v>2567043.91</v>
      </c>
      <c r="K20" s="7" t="n">
        <v>978540.89</v>
      </c>
      <c r="L20" s="7" t="n">
        <v>887479.11</v>
      </c>
      <c r="M20" s="7">
        <f>J20+K20+L20</f>
        <v/>
      </c>
      <c r="N20" s="9">
        <f>D20+M20</f>
        <v/>
      </c>
      <c r="O20" s="7" t="n">
        <v>21121165.61</v>
      </c>
      <c r="P20" s="10">
        <f>IF(O20=0,"",I20/O20)</f>
        <v/>
      </c>
      <c r="Q20" s="10">
        <f>IF(O20=0,"",N20/O20)</f>
        <v/>
      </c>
    </row>
    <row r="21">
      <c r="A21" s="6" t="inlineStr">
        <is>
          <t>الرسوم والتراخيص</t>
        </is>
      </c>
      <c r="B21" s="6" t="inlineStr">
        <is>
          <t>11452111</t>
        </is>
      </c>
      <c r="C21" s="6" t="inlineStr">
        <is>
          <t>المقابل المالي للسماح للأنشطة التجارية بالعمل (24) ساعة</t>
        </is>
      </c>
      <c r="D21" s="7" t="n">
        <v>11389959.41</v>
      </c>
      <c r="E21" s="7" t="n">
        <v>990178.5</v>
      </c>
      <c r="F21" s="7" t="n">
        <v>612468.97</v>
      </c>
      <c r="G21" s="7" t="n">
        <v>612468.97</v>
      </c>
      <c r="H21" s="7">
        <f>E21+F21+G21</f>
        <v/>
      </c>
      <c r="I21" s="8">
        <f>D21+H21</f>
        <v/>
      </c>
      <c r="J21" s="7" t="n">
        <v>990178.5</v>
      </c>
      <c r="K21" s="7" t="n">
        <v>388788.53</v>
      </c>
      <c r="L21" s="7" t="n">
        <v>388788.53</v>
      </c>
      <c r="M21" s="7">
        <f>J21+K21+L21</f>
        <v/>
      </c>
      <c r="N21" s="9">
        <f>D21+M21</f>
        <v/>
      </c>
      <c r="O21" s="7" t="n">
        <v>7104624.9</v>
      </c>
      <c r="P21" s="10">
        <f>IF(O21=0,"",I21/O21)</f>
        <v/>
      </c>
      <c r="Q21" s="10">
        <f>IF(O21=0,"",N21/O21)</f>
        <v/>
      </c>
    </row>
    <row r="22">
      <c r="A22" s="6" t="inlineStr">
        <is>
          <t>الرسوم والتراخيص</t>
        </is>
      </c>
      <c r="B22" s="6" t="inlineStr">
        <is>
          <t>1422109</t>
        </is>
      </c>
      <c r="C22" s="6" t="inlineStr">
        <is>
          <t>ايرادات  الكشفية</t>
        </is>
      </c>
      <c r="D22" s="7" t="n">
        <v>5723189.05</v>
      </c>
      <c r="E22" s="7" t="n">
        <v>579944.78</v>
      </c>
      <c r="F22" s="7" t="n">
        <v>557975.22</v>
      </c>
      <c r="G22" s="7" t="n">
        <v>572673.65</v>
      </c>
      <c r="H22" s="7">
        <f>E22+F22+G22</f>
        <v/>
      </c>
      <c r="I22" s="8">
        <f>D22+H22</f>
        <v/>
      </c>
      <c r="J22" s="7" t="n">
        <v>541910.1</v>
      </c>
      <c r="K22" s="7" t="n">
        <v>527370.14</v>
      </c>
      <c r="L22" s="7" t="n">
        <v>541262.36</v>
      </c>
      <c r="M22" s="7">
        <f>J22+K22+L22</f>
        <v/>
      </c>
      <c r="N22" s="9">
        <f>D22+M22</f>
        <v/>
      </c>
      <c r="O22" s="7" t="n">
        <v>10078623.05</v>
      </c>
      <c r="P22" s="10">
        <f>IF(O22=0,"",I22/O22)</f>
        <v/>
      </c>
      <c r="Q22" s="10">
        <f>IF(O22=0,"",N22/O22)</f>
        <v/>
      </c>
    </row>
    <row r="23">
      <c r="A23" s="6" t="inlineStr">
        <is>
          <t>الرسوم والتراخيص</t>
        </is>
      </c>
      <c r="B23" s="6" t="inlineStr">
        <is>
          <t>1421910</t>
        </is>
      </c>
      <c r="C23" s="6" t="inlineStr">
        <is>
          <t>اصدار تراخيص اشغال الارصفة العامة و الطرق</t>
        </is>
      </c>
      <c r="D23" s="7" t="n">
        <v>3581598.32</v>
      </c>
      <c r="E23" s="7" t="n">
        <v>374874</v>
      </c>
      <c r="F23" s="7" t="n">
        <v>582269.26</v>
      </c>
      <c r="G23" s="7" t="n">
        <v>481042.03</v>
      </c>
      <c r="H23" s="7">
        <f>E23+F23+G23</f>
        <v/>
      </c>
      <c r="I23" s="8">
        <f>D23+H23</f>
        <v/>
      </c>
      <c r="J23" s="7" t="n">
        <v>214841.4</v>
      </c>
      <c r="K23" s="7" t="n">
        <v>275543.1</v>
      </c>
      <c r="L23" s="7" t="n">
        <v>227640.06</v>
      </c>
      <c r="M23" s="7">
        <f>J23+K23+L23</f>
        <v/>
      </c>
      <c r="N23" s="9">
        <f>D23+M23</f>
        <v/>
      </c>
      <c r="O23" s="7" t="n">
        <v>4541143.18</v>
      </c>
      <c r="P23" s="10">
        <f>IF(O23=0,"",I23/O23)</f>
        <v/>
      </c>
      <c r="Q23" s="10">
        <f>IF(O23=0,"",N23/O23)</f>
        <v/>
      </c>
    </row>
    <row r="24">
      <c r="A24" s="6" t="inlineStr">
        <is>
          <t>الرسوم والتراخيص</t>
        </is>
      </c>
      <c r="B24" s="6" t="inlineStr">
        <is>
          <t>11452107</t>
        </is>
      </c>
      <c r="C24" s="6" t="inlineStr">
        <is>
          <t>اصدار التراخيص بتأسيس أو تشغيل الصراف الآلي</t>
        </is>
      </c>
      <c r="D24" s="7" t="n">
        <v>2750380.73</v>
      </c>
      <c r="E24" s="7" t="n">
        <v>57100</v>
      </c>
      <c r="F24" s="7" t="n">
        <v>10071.99</v>
      </c>
      <c r="G24" s="7" t="n">
        <v>26903.01</v>
      </c>
      <c r="H24" s="7">
        <f>E24+F24+G24</f>
        <v/>
      </c>
      <c r="I24" s="8">
        <f>D24+H24</f>
        <v/>
      </c>
      <c r="J24" s="7" t="n">
        <v>57100</v>
      </c>
      <c r="K24" s="7" t="n">
        <v>2724</v>
      </c>
      <c r="L24" s="7" t="n">
        <v>7276</v>
      </c>
      <c r="M24" s="7">
        <f>J24+K24+L24</f>
        <v/>
      </c>
      <c r="N24" s="9">
        <f>D24+M24</f>
        <v/>
      </c>
      <c r="O24" s="7" t="n">
        <v>2621585.08</v>
      </c>
      <c r="P24" s="10">
        <f>IF(O24=0,"",I24/O24)</f>
        <v/>
      </c>
      <c r="Q24" s="10">
        <f>IF(O24=0,"",N24/O24)</f>
        <v/>
      </c>
    </row>
    <row r="25">
      <c r="A25" s="6" t="inlineStr">
        <is>
          <t>الرسوم والتراخيص</t>
        </is>
      </c>
      <c r="B25" s="6" t="inlineStr">
        <is>
          <t>11452106</t>
        </is>
      </c>
      <c r="C25" s="6" t="inlineStr">
        <is>
          <t>اصدار التراخيص بتأسيس أو تشغيل ابراج الاتصالات</t>
        </is>
      </c>
      <c r="D25" s="7" t="n">
        <v>1363801.03</v>
      </c>
      <c r="E25" s="7" t="n">
        <v>56000</v>
      </c>
      <c r="F25" s="7" t="n">
        <v>81304.39999999999</v>
      </c>
      <c r="G25" s="7" t="n">
        <v>81695.60000000001</v>
      </c>
      <c r="H25" s="7">
        <f>E25+F25+G25</f>
        <v/>
      </c>
      <c r="I25" s="8">
        <f>D25+H25</f>
        <v/>
      </c>
      <c r="J25" s="7" t="n">
        <v>56000</v>
      </c>
      <c r="K25" s="7" t="n">
        <v>67612.34</v>
      </c>
      <c r="L25" s="7" t="n">
        <v>67937.66</v>
      </c>
      <c r="M25" s="7">
        <f>J25+K25+L25</f>
        <v/>
      </c>
      <c r="N25" s="9">
        <f>D25+M25</f>
        <v/>
      </c>
      <c r="O25" s="7" t="n">
        <v>7603182.49</v>
      </c>
      <c r="P25" s="10">
        <f>IF(O25=0,"",I25/O25)</f>
        <v/>
      </c>
      <c r="Q25" s="10">
        <f>IF(O25=0,"",N25/O25)</f>
        <v/>
      </c>
    </row>
    <row r="26">
      <c r="A26" s="6" t="inlineStr">
        <is>
          <t>الرسوم والتراخيص</t>
        </is>
      </c>
      <c r="B26" s="6" t="inlineStr">
        <is>
          <t>11452110</t>
        </is>
      </c>
      <c r="C26" s="6" t="inlineStr">
        <is>
          <t>إصدار تراخيص إستخدام أملاك خاصة لإقامة فعاليات</t>
        </is>
      </c>
      <c r="D26" s="7" t="n">
        <v>581755.84</v>
      </c>
      <c r="E26" s="7" t="n">
        <v>37475.46</v>
      </c>
      <c r="F26" s="7" t="n">
        <v>115379.71</v>
      </c>
      <c r="G26" s="7" t="n">
        <v>68083.02</v>
      </c>
      <c r="H26" s="7">
        <f>E26+F26+G26</f>
        <v/>
      </c>
      <c r="I26" s="8">
        <f>D26+H26</f>
        <v/>
      </c>
      <c r="J26" s="7" t="n">
        <v>34158.14</v>
      </c>
      <c r="K26" s="7" t="n">
        <v>74763.73</v>
      </c>
      <c r="L26" s="7" t="n">
        <v>44116.42</v>
      </c>
      <c r="M26" s="7">
        <f>J26+K26+L26</f>
        <v/>
      </c>
      <c r="N26" s="9">
        <f>D26+M26</f>
        <v/>
      </c>
      <c r="O26" s="7" t="n">
        <v>1369461.01</v>
      </c>
      <c r="P26" s="10">
        <f>IF(O26=0,"",I26/O26)</f>
        <v/>
      </c>
      <c r="Q26" s="10">
        <f>IF(O26=0,"",N26/O26)</f>
        <v/>
      </c>
    </row>
    <row r="27">
      <c r="A27" s="6" t="inlineStr">
        <is>
          <t>الرسوم والتراخيص</t>
        </is>
      </c>
      <c r="B27" s="6" t="inlineStr">
        <is>
          <t>1422104</t>
        </is>
      </c>
      <c r="C27" s="6" t="inlineStr">
        <is>
          <t>رسوم وأجور ناتجة من النشاط غير مصنفة أعلاه</t>
        </is>
      </c>
      <c r="D27" s="7" t="n">
        <v>391830</v>
      </c>
      <c r="E27" s="7" t="n">
        <v>0</v>
      </c>
      <c r="F27" s="7" t="n">
        <v>0</v>
      </c>
      <c r="G27" s="7" t="n">
        <v>0</v>
      </c>
      <c r="H27" s="7">
        <f>E27+F27+G27</f>
        <v/>
      </c>
      <c r="I27" s="8">
        <f>D27+H27</f>
        <v/>
      </c>
      <c r="J27" s="7" t="n">
        <v>0</v>
      </c>
      <c r="K27" s="7" t="n">
        <v>0</v>
      </c>
      <c r="L27" s="7" t="n">
        <v>0</v>
      </c>
      <c r="M27" s="7">
        <f>J27+K27+L27</f>
        <v/>
      </c>
      <c r="N27" s="9">
        <f>D27+M27</f>
        <v/>
      </c>
      <c r="O27" s="7" t="n">
        <v>0</v>
      </c>
      <c r="P27" s="10">
        <f>IF(O27=0,"",I27/O27)</f>
        <v/>
      </c>
      <c r="Q27" s="10">
        <f>IF(O27=0,"",N27/O27)</f>
        <v/>
      </c>
    </row>
    <row r="28">
      <c r="A28" s="6" t="inlineStr">
        <is>
          <t>الرسوم والتراخيص</t>
        </is>
      </c>
      <c r="B28" s="6" t="inlineStr">
        <is>
          <t>11452109</t>
        </is>
      </c>
      <c r="C28" s="6" t="inlineStr">
        <is>
          <t>اعتماد مخططات التطوير العقاري</t>
        </is>
      </c>
      <c r="D28" s="7" t="n">
        <v>50</v>
      </c>
      <c r="E28" s="7" t="n">
        <v>55147.96</v>
      </c>
      <c r="F28" s="7" t="n">
        <v>875.04</v>
      </c>
      <c r="G28" s="7" t="n">
        <v>2174.95</v>
      </c>
      <c r="H28" s="7">
        <f>E28+F28+G28</f>
        <v/>
      </c>
      <c r="I28" s="8">
        <f>D28+H28</f>
        <v/>
      </c>
      <c r="J28" s="7" t="n">
        <v>800</v>
      </c>
      <c r="K28" s="7" t="n">
        <v>7.17</v>
      </c>
      <c r="L28" s="7" t="n">
        <v>17.83</v>
      </c>
      <c r="M28" s="7">
        <f>J28+K28+L28</f>
        <v/>
      </c>
      <c r="N28" s="9">
        <f>D28+M28</f>
        <v/>
      </c>
      <c r="O28" s="7" t="n">
        <v>854382.67</v>
      </c>
      <c r="P28" s="10">
        <f>IF(O28=0,"",I28/O28)</f>
        <v/>
      </c>
      <c r="Q28" s="10">
        <f>IF(O28=0,"",N28/O28)</f>
        <v/>
      </c>
    </row>
    <row r="29">
      <c r="A29" s="6" t="inlineStr">
        <is>
          <t>الرسوم والتراخيص</t>
        </is>
      </c>
      <c r="B29" s="6" t="inlineStr">
        <is>
          <t>1421907</t>
        </is>
      </c>
      <c r="C29" s="6" t="inlineStr">
        <is>
          <t>إيرادات المخططات</t>
        </is>
      </c>
      <c r="D29" s="7" t="n">
        <v>5950</v>
      </c>
      <c r="E29" s="7" t="n">
        <v>0</v>
      </c>
      <c r="F29" s="7" t="n">
        <v>0</v>
      </c>
      <c r="G29" s="7" t="n">
        <v>0</v>
      </c>
      <c r="H29" s="7">
        <f>E29+F29+G29</f>
        <v/>
      </c>
      <c r="I29" s="8">
        <f>D29+H29</f>
        <v/>
      </c>
      <c r="J29" s="7" t="n">
        <v>0</v>
      </c>
      <c r="K29" s="7" t="n">
        <v>0</v>
      </c>
      <c r="L29" s="7" t="n">
        <v>0</v>
      </c>
      <c r="M29" s="7">
        <f>J29+K29+L29</f>
        <v/>
      </c>
      <c r="N29" s="9">
        <f>D29+M29</f>
        <v/>
      </c>
      <c r="O29" s="7" t="n">
        <v>614036.83</v>
      </c>
      <c r="P29" s="10">
        <f>IF(O29=0,"",I29/O29)</f>
        <v/>
      </c>
      <c r="Q29" s="10">
        <f>IF(O29=0,"",N29/O29)</f>
        <v/>
      </c>
    </row>
    <row r="30">
      <c r="A30" s="6" t="inlineStr">
        <is>
          <t>الرسوم والتراخيص</t>
        </is>
      </c>
      <c r="B30" s="6" t="inlineStr">
        <is>
          <t>11452513</t>
        </is>
      </c>
      <c r="C30" s="6" t="inlineStr">
        <is>
          <t>لوحات إرشـادية</t>
        </is>
      </c>
      <c r="D30" s="7" t="n">
        <v>600</v>
      </c>
      <c r="E30" s="7" t="n">
        <v>0</v>
      </c>
      <c r="F30" s="7" t="n">
        <v>649.95</v>
      </c>
      <c r="G30" s="7" t="n">
        <v>400.05</v>
      </c>
      <c r="H30" s="7">
        <f>E30+F30+G30</f>
        <v/>
      </c>
      <c r="I30" s="8">
        <f>D30+H30</f>
        <v/>
      </c>
      <c r="J30" s="7" t="n">
        <v>0</v>
      </c>
      <c r="K30" s="7" t="n">
        <v>0</v>
      </c>
      <c r="L30" s="7" t="n">
        <v>0</v>
      </c>
      <c r="M30" s="7">
        <f>J30+K30+L30</f>
        <v/>
      </c>
      <c r="N30" s="9">
        <f>D30+M30</f>
        <v/>
      </c>
      <c r="O30" s="7" t="n">
        <v>66659</v>
      </c>
      <c r="P30" s="10">
        <f>IF(O30=0,"",I30/O30)</f>
        <v/>
      </c>
      <c r="Q30" s="10">
        <f>IF(O30=0,"",N30/O30)</f>
        <v/>
      </c>
    </row>
    <row r="31">
      <c r="A31" s="6" t="inlineStr">
        <is>
          <t>الرسوم والتراخيص</t>
        </is>
      </c>
      <c r="B31" s="6" t="inlineStr">
        <is>
          <t>11452105</t>
        </is>
      </c>
      <c r="C31" s="6" t="inlineStr">
        <is>
          <t>رسوم تراخيص حفر الشوارع</t>
        </is>
      </c>
      <c r="D31" s="7" t="n">
        <v>1350</v>
      </c>
      <c r="E31" s="7" t="n">
        <v>0</v>
      </c>
      <c r="F31" s="7" t="n">
        <v>0</v>
      </c>
      <c r="G31" s="7" t="n">
        <v>0</v>
      </c>
      <c r="H31" s="7">
        <f>E31+F31+G31</f>
        <v/>
      </c>
      <c r="I31" s="8">
        <f>D31+H31</f>
        <v/>
      </c>
      <c r="J31" s="7" t="n">
        <v>0</v>
      </c>
      <c r="K31" s="7" t="n">
        <v>0</v>
      </c>
      <c r="L31" s="7" t="n">
        <v>0</v>
      </c>
      <c r="M31" s="7">
        <f>J31+K31+L31</f>
        <v/>
      </c>
      <c r="N31" s="9">
        <f>D31+M31</f>
        <v/>
      </c>
      <c r="O31" s="7" t="n">
        <v>442058.18</v>
      </c>
      <c r="P31" s="10">
        <f>IF(O31=0,"",I31/O31)</f>
        <v/>
      </c>
      <c r="Q31" s="10">
        <f>IF(O31=0,"",N31/O31)</f>
        <v/>
      </c>
    </row>
    <row r="32">
      <c r="A32" s="11" t="inlineStr">
        <is>
          <t>الرسوم والتراخيص</t>
        </is>
      </c>
      <c r="B32" s="11" t="n"/>
      <c r="C32" s="11" t="inlineStr">
        <is>
          <t>إجمالي الرسوم والتراخيص</t>
        </is>
      </c>
      <c r="D32" s="12">
        <f>SUM(D14:D31)</f>
        <v/>
      </c>
      <c r="E32" s="12">
        <f>SUM(E14:E31)</f>
        <v/>
      </c>
      <c r="F32" s="12">
        <f>SUM(F14:F31)</f>
        <v/>
      </c>
      <c r="G32" s="12">
        <f>SUM(G14:G31)</f>
        <v/>
      </c>
      <c r="H32" s="12">
        <f>SUM(H14:H31)</f>
        <v/>
      </c>
      <c r="I32" s="12">
        <f>SUM(I14:I31)</f>
        <v/>
      </c>
      <c r="J32" s="12">
        <f>SUM(J14:J31)</f>
        <v/>
      </c>
      <c r="K32" s="12">
        <f>SUM(K14:K31)</f>
        <v/>
      </c>
      <c r="L32" s="12">
        <f>SUM(L14:L31)</f>
        <v/>
      </c>
      <c r="M32" s="12">
        <f>SUM(M14:M31)</f>
        <v/>
      </c>
      <c r="N32" s="12">
        <f>SUM(N14:N31)</f>
        <v/>
      </c>
      <c r="O32" s="12">
        <f>SUM(O14:O31)</f>
        <v/>
      </c>
      <c r="P32" s="13">
        <f>IF(O32=0,"",I32/O32)</f>
        <v/>
      </c>
      <c r="Q32" s="13">
        <f>IF(O32=0,"",N32/O32)</f>
        <v/>
      </c>
    </row>
    <row r="33">
      <c r="A33" s="6" t="inlineStr">
        <is>
          <t>جزاءات وغرامات</t>
        </is>
      </c>
      <c r="B33" s="6" t="inlineStr">
        <is>
          <t>1438001</t>
        </is>
      </c>
      <c r="C33" s="6" t="inlineStr">
        <is>
          <t>جزاءات و غرامات مفروضة بموجب أنظمة الجهة</t>
        </is>
      </c>
      <c r="D33" s="7" t="n">
        <v>356392222.05</v>
      </c>
      <c r="E33" s="7" t="n">
        <v>44323914.15</v>
      </c>
      <c r="F33" s="7" t="n">
        <v>39946977.27</v>
      </c>
      <c r="G33" s="7" t="n">
        <v>44453988.86</v>
      </c>
      <c r="H33" s="7">
        <f>E33+F33+G33</f>
        <v/>
      </c>
      <c r="I33" s="8">
        <f>D33+H33</f>
        <v/>
      </c>
      <c r="J33" s="7" t="n">
        <v>33304429</v>
      </c>
      <c r="K33" s="7" t="n">
        <v>23004237.5</v>
      </c>
      <c r="L33" s="7" t="n">
        <v>25599687.07</v>
      </c>
      <c r="M33" s="7">
        <f>J33+K33+L33</f>
        <v/>
      </c>
      <c r="N33" s="9">
        <f>D33+M33</f>
        <v/>
      </c>
      <c r="O33" s="7" t="n">
        <v>441463735.55</v>
      </c>
      <c r="P33" s="10">
        <f>IF(O33=0,"",I33/O33)</f>
        <v/>
      </c>
      <c r="Q33" s="10">
        <f>IF(O33=0,"",N33/O33)</f>
        <v/>
      </c>
    </row>
    <row r="34">
      <c r="A34" s="6" t="inlineStr">
        <is>
          <t>جزاءات وغرامات</t>
        </is>
      </c>
      <c r="B34" s="6" t="inlineStr">
        <is>
          <t>1439</t>
        </is>
      </c>
      <c r="C34" s="6" t="inlineStr">
        <is>
          <t>ايرادات  مبيعات  ناتجه من النشاط غير مصنفة</t>
        </is>
      </c>
      <c r="D34" s="7" t="n">
        <v>179433194.45</v>
      </c>
      <c r="E34" s="7" t="n">
        <v>0</v>
      </c>
      <c r="F34" s="7" t="n">
        <v>65793.82000000001</v>
      </c>
      <c r="G34" s="7" t="n">
        <v>6380.18</v>
      </c>
      <c r="H34" s="7">
        <f>E34+F34+G34</f>
        <v/>
      </c>
      <c r="I34" s="8">
        <f>D34+H34</f>
        <v/>
      </c>
      <c r="J34" s="7" t="n">
        <v>0</v>
      </c>
      <c r="K34" s="7" t="n">
        <v>6381.2</v>
      </c>
      <c r="L34" s="7" t="n">
        <v>618.8</v>
      </c>
      <c r="M34" s="7">
        <f>J34+K34+L34</f>
        <v/>
      </c>
      <c r="N34" s="9">
        <f>D34+M34</f>
        <v/>
      </c>
      <c r="O34" s="7" t="n">
        <v>30036092.05</v>
      </c>
      <c r="P34" s="10">
        <f>IF(O34=0,"",I34/O34)</f>
        <v/>
      </c>
      <c r="Q34" s="10">
        <f>IF(O34=0,"",N34/O34)</f>
        <v/>
      </c>
    </row>
    <row r="35">
      <c r="A35" s="6" t="inlineStr">
        <is>
          <t>جزاءات وغرامات</t>
        </is>
      </c>
      <c r="B35" s="6" t="inlineStr">
        <is>
          <t>1431</t>
        </is>
      </c>
      <c r="C35" s="6" t="inlineStr">
        <is>
          <t>الجزاءات والغرامات</t>
        </is>
      </c>
      <c r="D35" s="7" t="n">
        <v>103169485.22</v>
      </c>
      <c r="E35" s="7" t="n">
        <v>0</v>
      </c>
      <c r="F35" s="7" t="n">
        <v>0</v>
      </c>
      <c r="G35" s="7" t="n">
        <v>0</v>
      </c>
      <c r="H35" s="7">
        <f>E35+F35+G35</f>
        <v/>
      </c>
      <c r="I35" s="8">
        <f>D35+H35</f>
        <v/>
      </c>
      <c r="J35" s="7" t="n">
        <v>0</v>
      </c>
      <c r="K35" s="7" t="n">
        <v>0</v>
      </c>
      <c r="L35" s="7" t="n">
        <v>0</v>
      </c>
      <c r="M35" s="7">
        <f>J35+K35+L35</f>
        <v/>
      </c>
      <c r="N35" s="9">
        <f>D35+M35</f>
        <v/>
      </c>
      <c r="O35" s="7" t="n">
        <v>90003284</v>
      </c>
      <c r="P35" s="10">
        <f>IF(O35=0,"",I35/O35)</f>
        <v/>
      </c>
      <c r="Q35" s="10">
        <f>IF(O35=0,"",N35/O35)</f>
        <v/>
      </c>
    </row>
    <row r="36">
      <c r="A36" s="6" t="inlineStr">
        <is>
          <t>جزاءات وغرامات</t>
        </is>
      </c>
      <c r="B36" s="6" t="inlineStr">
        <is>
          <t>1438</t>
        </is>
      </c>
      <c r="C36" s="6" t="inlineStr">
        <is>
          <t>جزاءات وغرامات مفروضة بموجب أنظمة الجهة</t>
        </is>
      </c>
      <c r="D36" s="7" t="n">
        <v>0</v>
      </c>
      <c r="E36" s="7" t="n">
        <v>12000</v>
      </c>
      <c r="F36" s="7" t="n">
        <v>11420.59</v>
      </c>
      <c r="G36" s="7" t="n">
        <v>14529.41</v>
      </c>
      <c r="H36" s="7">
        <f>E36+F36+G36</f>
        <v/>
      </c>
      <c r="I36" s="8">
        <f>D36+H36</f>
        <v/>
      </c>
      <c r="J36" s="7" t="n">
        <v>2500</v>
      </c>
      <c r="K36" s="7" t="n">
        <v>7195.64</v>
      </c>
      <c r="L36" s="7" t="n">
        <v>9154.360000000001</v>
      </c>
      <c r="M36" s="7">
        <f>J36+K36+L36</f>
        <v/>
      </c>
      <c r="N36" s="9">
        <f>D36+M36</f>
        <v/>
      </c>
      <c r="O36" s="7" t="n">
        <v>0</v>
      </c>
      <c r="P36" s="10">
        <f>IF(O36=0,"",I36/O36)</f>
        <v/>
      </c>
      <c r="Q36" s="10">
        <f>IF(O36=0,"",N36/O36)</f>
        <v/>
      </c>
    </row>
    <row r="37">
      <c r="A37" s="11" t="inlineStr">
        <is>
          <t>جزاءات وغرامات</t>
        </is>
      </c>
      <c r="B37" s="11" t="n"/>
      <c r="C37" s="11" t="inlineStr">
        <is>
          <t>إجمالي جزاءات وغرامات</t>
        </is>
      </c>
      <c r="D37" s="12">
        <f>SUM(D33:D36)</f>
        <v/>
      </c>
      <c r="E37" s="12">
        <f>SUM(E33:E36)</f>
        <v/>
      </c>
      <c r="F37" s="12">
        <f>SUM(F33:F36)</f>
        <v/>
      </c>
      <c r="G37" s="12">
        <f>SUM(G33:G36)</f>
        <v/>
      </c>
      <c r="H37" s="12">
        <f>SUM(H33:H36)</f>
        <v/>
      </c>
      <c r="I37" s="12">
        <f>SUM(I33:I36)</f>
        <v/>
      </c>
      <c r="J37" s="12">
        <f>SUM(J33:J36)</f>
        <v/>
      </c>
      <c r="K37" s="12">
        <f>SUM(K33:K36)</f>
        <v/>
      </c>
      <c r="L37" s="12">
        <f>SUM(L33:L36)</f>
        <v/>
      </c>
      <c r="M37" s="12">
        <f>SUM(M33:M36)</f>
        <v/>
      </c>
      <c r="N37" s="12">
        <f>SUM(N33:N36)</f>
        <v/>
      </c>
      <c r="O37" s="12">
        <f>SUM(O33:O36)</f>
        <v/>
      </c>
      <c r="P37" s="13">
        <f>IF(O37=0,"",I37/O37)</f>
        <v/>
      </c>
      <c r="Q37" s="13">
        <f>IF(O37=0,"",N37/O37)</f>
        <v/>
      </c>
    </row>
    <row r="38">
      <c r="A38" s="6" t="inlineStr">
        <is>
          <t>التبغ والإيواء</t>
        </is>
      </c>
      <c r="B38" s="6" t="inlineStr">
        <is>
          <t>11442</t>
        </is>
      </c>
      <c r="C38" s="6" t="inlineStr">
        <is>
          <t>اشغال مرافق الايواء</t>
        </is>
      </c>
      <c r="D38" s="7" t="n">
        <v>138456211.41</v>
      </c>
      <c r="E38" s="7" t="n">
        <v>21389005.05</v>
      </c>
      <c r="F38" s="7" t="n">
        <v>12959762.55</v>
      </c>
      <c r="G38" s="7" t="n">
        <v>15086664.99</v>
      </c>
      <c r="H38" s="7">
        <f>E38+F38+G38</f>
        <v/>
      </c>
      <c r="I38" s="8">
        <f>D38+H38</f>
        <v/>
      </c>
      <c r="J38" s="7" t="n">
        <v>17437181.24</v>
      </c>
      <c r="K38" s="7" t="n">
        <v>6641037.89</v>
      </c>
      <c r="L38" s="7" t="n">
        <v>7730937.46</v>
      </c>
      <c r="M38" s="7">
        <f>J38+K38+L38</f>
        <v/>
      </c>
      <c r="N38" s="9">
        <f>D38+M38</f>
        <v/>
      </c>
      <c r="O38" s="7" t="n">
        <v>288111986.95</v>
      </c>
      <c r="P38" s="10">
        <f>IF(O38=0,"",I38/O38)</f>
        <v/>
      </c>
      <c r="Q38" s="10">
        <f>IF(O38=0,"",N38/O38)</f>
        <v/>
      </c>
    </row>
    <row r="39">
      <c r="A39" s="6" t="inlineStr">
        <is>
          <t>التبغ والإيواء</t>
        </is>
      </c>
      <c r="B39" s="6" t="inlineStr">
        <is>
          <t>1421911</t>
        </is>
      </c>
      <c r="C39" s="6" t="inlineStr">
        <is>
          <t>رسم مبيعات محلات تقديم منتجات التبغ</t>
        </is>
      </c>
      <c r="D39" s="7" t="n">
        <v>56784442.92</v>
      </c>
      <c r="E39" s="7" t="n">
        <v>5913098.76</v>
      </c>
      <c r="F39" s="7" t="n">
        <v>4013782.75</v>
      </c>
      <c r="G39" s="7" t="n">
        <v>3624990.58</v>
      </c>
      <c r="H39" s="7">
        <f>E39+F39+G39</f>
        <v/>
      </c>
      <c r="I39" s="8">
        <f>D39+H39</f>
        <v/>
      </c>
      <c r="J39" s="7" t="n">
        <v>4775658.74</v>
      </c>
      <c r="K39" s="7" t="n">
        <v>1913118.08</v>
      </c>
      <c r="L39" s="7" t="n">
        <v>1727805.27</v>
      </c>
      <c r="M39" s="7">
        <f>J39+K39+L39</f>
        <v/>
      </c>
      <c r="N39" s="9">
        <f>D39+M39</f>
        <v/>
      </c>
      <c r="O39" s="7" t="n">
        <v>91313321.93000001</v>
      </c>
      <c r="P39" s="10">
        <f>IF(O39=0,"",I39/O39)</f>
        <v/>
      </c>
      <c r="Q39" s="10">
        <f>IF(O39=0,"",N39/O39)</f>
        <v/>
      </c>
    </row>
    <row r="40">
      <c r="A40" s="6" t="inlineStr">
        <is>
          <t>التبغ والإيواء</t>
        </is>
      </c>
      <c r="B40" s="6" t="inlineStr">
        <is>
          <t>1422121</t>
        </is>
      </c>
      <c r="C40" s="6" t="inlineStr">
        <is>
          <t>رسم ترخيص نشاط تقديم منتجات التبغ</t>
        </is>
      </c>
      <c r="D40" s="7" t="n">
        <v>13854265.49</v>
      </c>
      <c r="E40" s="7" t="n">
        <v>893026.61</v>
      </c>
      <c r="F40" s="7" t="n">
        <v>397672.58</v>
      </c>
      <c r="G40" s="7" t="n">
        <v>377550.32</v>
      </c>
      <c r="H40" s="7">
        <f>E40+F40+G40</f>
        <v/>
      </c>
      <c r="I40" s="8">
        <f>D40+H40</f>
        <v/>
      </c>
      <c r="J40" s="7" t="n">
        <v>893026.61</v>
      </c>
      <c r="K40" s="7" t="n">
        <v>397672.58</v>
      </c>
      <c r="L40" s="7" t="n">
        <v>377550.32</v>
      </c>
      <c r="M40" s="7">
        <f>J40+K40+L40</f>
        <v/>
      </c>
      <c r="N40" s="9">
        <f>D40+M40</f>
        <v/>
      </c>
      <c r="O40" s="7" t="n">
        <v>19724053.61</v>
      </c>
      <c r="P40" s="10">
        <f>IF(O40=0,"",I40/O40)</f>
        <v/>
      </c>
      <c r="Q40" s="10">
        <f>IF(O40=0,"",N40/O40)</f>
        <v/>
      </c>
    </row>
    <row r="41">
      <c r="A41" s="11" t="inlineStr">
        <is>
          <t>التبغ والإيواء</t>
        </is>
      </c>
      <c r="B41" s="11" t="n"/>
      <c r="C41" s="11" t="inlineStr">
        <is>
          <t>إجمالي التبغ والإيواء</t>
        </is>
      </c>
      <c r="D41" s="12">
        <f>SUM(D38:D40)</f>
        <v/>
      </c>
      <c r="E41" s="12">
        <f>SUM(E38:E40)</f>
        <v/>
      </c>
      <c r="F41" s="12">
        <f>SUM(F38:F40)</f>
        <v/>
      </c>
      <c r="G41" s="12">
        <f>SUM(G38:G40)</f>
        <v/>
      </c>
      <c r="H41" s="12">
        <f>SUM(H38:H40)</f>
        <v/>
      </c>
      <c r="I41" s="12">
        <f>SUM(I38:I40)</f>
        <v/>
      </c>
      <c r="J41" s="12">
        <f>SUM(J38:J40)</f>
        <v/>
      </c>
      <c r="K41" s="12">
        <f>SUM(K38:K40)</f>
        <v/>
      </c>
      <c r="L41" s="12">
        <f>SUM(L38:L40)</f>
        <v/>
      </c>
      <c r="M41" s="12">
        <f>SUM(M38:M40)</f>
        <v/>
      </c>
      <c r="N41" s="12">
        <f>SUM(N38:N40)</f>
        <v/>
      </c>
      <c r="O41" s="12">
        <f>SUM(O38:O40)</f>
        <v/>
      </c>
      <c r="P41" s="13">
        <f>IF(O41=0,"",I41/O41)</f>
        <v/>
      </c>
      <c r="Q41" s="13">
        <f>IF(O41=0,"",N41/O41)</f>
        <v/>
      </c>
    </row>
    <row r="42">
      <c r="A42" s="6" t="inlineStr">
        <is>
          <t>أخرى</t>
        </is>
      </c>
      <c r="B42" s="6" t="inlineStr">
        <is>
          <t>1421999</t>
        </is>
      </c>
      <c r="C42" s="6" t="inlineStr">
        <is>
          <t>مبيعات أخرى</t>
        </is>
      </c>
      <c r="D42" s="7" t="n">
        <v>130326875.93</v>
      </c>
      <c r="E42" s="7" t="n">
        <v>8369863.23</v>
      </c>
      <c r="F42" s="7" t="n">
        <v>7790081.04</v>
      </c>
      <c r="G42" s="7" t="n">
        <v>33554005.8</v>
      </c>
      <c r="H42" s="7">
        <f>E42+F42+G42</f>
        <v/>
      </c>
      <c r="I42" s="8">
        <f>D42+H42</f>
        <v/>
      </c>
      <c r="J42" s="7" t="n">
        <v>8369863.23</v>
      </c>
      <c r="K42" s="7" t="n">
        <v>7790081.04</v>
      </c>
      <c r="L42" s="7" t="n">
        <v>33554005.8</v>
      </c>
      <c r="M42" s="7">
        <f>J42+K42+L42</f>
        <v/>
      </c>
      <c r="N42" s="9">
        <f>D42+M42</f>
        <v/>
      </c>
      <c r="O42" s="7" t="n">
        <v>93151323.34999999</v>
      </c>
      <c r="P42" s="10">
        <f>IF(O42=0,"",I42/O42)</f>
        <v/>
      </c>
      <c r="Q42" s="10">
        <f>IF(O42=0,"",N42/O42)</f>
        <v/>
      </c>
    </row>
    <row r="43">
      <c r="A43" s="6" t="inlineStr">
        <is>
          <t>أخرى</t>
        </is>
      </c>
      <c r="B43" s="6" t="inlineStr">
        <is>
          <t>144122</t>
        </is>
      </c>
      <c r="C43" s="6" t="inlineStr">
        <is>
          <t>إيرادات  متنوعه</t>
        </is>
      </c>
      <c r="D43" s="7" t="n">
        <v>55804724.95</v>
      </c>
      <c r="E43" s="7" t="n">
        <v>851617.5</v>
      </c>
      <c r="F43" s="7" t="n">
        <v>222025.06</v>
      </c>
      <c r="G43" s="7" t="n">
        <v>225696.38</v>
      </c>
      <c r="H43" s="7">
        <f>E43+F43+G43</f>
        <v/>
      </c>
      <c r="I43" s="8">
        <f>D43+H43</f>
        <v/>
      </c>
      <c r="J43" s="7" t="n">
        <v>126070</v>
      </c>
      <c r="K43" s="7" t="n">
        <v>38426.83</v>
      </c>
      <c r="L43" s="7" t="n">
        <v>39062.25</v>
      </c>
      <c r="M43" s="7">
        <f>J43+K43+L43</f>
        <v/>
      </c>
      <c r="N43" s="9">
        <f>D43+M43</f>
        <v/>
      </c>
      <c r="O43" s="7" t="n">
        <v>5397642.99</v>
      </c>
      <c r="P43" s="10">
        <f>IF(O43=0,"",I43/O43)</f>
        <v/>
      </c>
      <c r="Q43" s="10">
        <f>IF(O43=0,"",N43/O43)</f>
        <v/>
      </c>
    </row>
    <row r="44">
      <c r="A44" s="6" t="inlineStr">
        <is>
          <t>أخرى</t>
        </is>
      </c>
      <c r="B44" s="6" t="inlineStr">
        <is>
          <t>1422202</t>
        </is>
      </c>
      <c r="C44" s="6" t="inlineStr">
        <is>
          <t>نقـل الملكيـة</t>
        </is>
      </c>
      <c r="D44" s="7" t="n">
        <v>4792650</v>
      </c>
      <c r="E44" s="7" t="n">
        <v>0</v>
      </c>
      <c r="F44" s="7" t="n">
        <v>0</v>
      </c>
      <c r="G44" s="7" t="n">
        <v>0</v>
      </c>
      <c r="H44" s="7">
        <f>E44+F44+G44</f>
        <v/>
      </c>
      <c r="I44" s="8">
        <f>D44+H44</f>
        <v/>
      </c>
      <c r="J44" s="7" t="n">
        <v>0</v>
      </c>
      <c r="K44" s="7" t="n">
        <v>0</v>
      </c>
      <c r="L44" s="7" t="n">
        <v>0</v>
      </c>
      <c r="M44" s="7">
        <f>J44+K44+L44</f>
        <v/>
      </c>
      <c r="N44" s="9">
        <f>D44+M44</f>
        <v/>
      </c>
      <c r="O44" s="7" t="n">
        <v>0</v>
      </c>
      <c r="P44" s="10">
        <f>IF(O44=0,"",I44/O44)</f>
        <v/>
      </c>
      <c r="Q44" s="10">
        <f>IF(O44=0,"",N44/O44)</f>
        <v/>
      </c>
    </row>
    <row r="45">
      <c r="A45" s="6" t="inlineStr">
        <is>
          <t>أخرى</t>
        </is>
      </c>
      <c r="B45" s="6" t="inlineStr">
        <is>
          <t>1421901</t>
        </is>
      </c>
      <c r="C45" s="6" t="inlineStr">
        <is>
          <t>بيع الوثائق والأنظمة</t>
        </is>
      </c>
      <c r="D45" s="7" t="n">
        <v>2418825.35</v>
      </c>
      <c r="E45" s="7" t="n">
        <v>212983.92</v>
      </c>
      <c r="F45" s="7" t="n">
        <v>222778.16</v>
      </c>
      <c r="G45" s="7" t="n">
        <v>131231.31</v>
      </c>
      <c r="H45" s="7">
        <f>E45+F45+G45</f>
        <v/>
      </c>
      <c r="I45" s="8">
        <f>D45+H45</f>
        <v/>
      </c>
      <c r="J45" s="7" t="n">
        <v>179280.35</v>
      </c>
      <c r="K45" s="7" t="n">
        <v>179667.96</v>
      </c>
      <c r="L45" s="7" t="n">
        <v>105836.51</v>
      </c>
      <c r="M45" s="7">
        <f>J45+K45+L45</f>
        <v/>
      </c>
      <c r="N45" s="9">
        <f>D45+M45</f>
        <v/>
      </c>
      <c r="O45" s="7" t="n">
        <v>6675958.32</v>
      </c>
      <c r="P45" s="10">
        <f>IF(O45=0,"",I45/O45)</f>
        <v/>
      </c>
      <c r="Q45" s="10">
        <f>IF(O45=0,"",N45/O45)</f>
        <v/>
      </c>
    </row>
    <row r="46">
      <c r="A46" s="11" t="inlineStr">
        <is>
          <t>أخرى</t>
        </is>
      </c>
      <c r="B46" s="11" t="n"/>
      <c r="C46" s="11" t="inlineStr">
        <is>
          <t>إجمالي أخرى</t>
        </is>
      </c>
      <c r="D46" s="12">
        <f>SUM(D42:D45)</f>
        <v/>
      </c>
      <c r="E46" s="12">
        <f>SUM(E42:E45)</f>
        <v/>
      </c>
      <c r="F46" s="12">
        <f>SUM(F42:F45)</f>
        <v/>
      </c>
      <c r="G46" s="12">
        <f>SUM(G42:G45)</f>
        <v/>
      </c>
      <c r="H46" s="12">
        <f>SUM(H42:H45)</f>
        <v/>
      </c>
      <c r="I46" s="12">
        <f>SUM(I42:I45)</f>
        <v/>
      </c>
      <c r="J46" s="12">
        <f>SUM(J42:J45)</f>
        <v/>
      </c>
      <c r="K46" s="12">
        <f>SUM(K42:K45)</f>
        <v/>
      </c>
      <c r="L46" s="12">
        <f>SUM(L42:L45)</f>
        <v/>
      </c>
      <c r="M46" s="12">
        <f>SUM(M42:M45)</f>
        <v/>
      </c>
      <c r="N46" s="12">
        <f>SUM(N42:N45)</f>
        <v/>
      </c>
      <c r="O46" s="12">
        <f>SUM(O42:O45)</f>
        <v/>
      </c>
      <c r="P46" s="13">
        <f>IF(O46=0,"",I46/O46)</f>
        <v/>
      </c>
      <c r="Q46" s="13">
        <f>IF(O46=0,"",N46/O46)</f>
        <v/>
      </c>
    </row>
    <row r="47">
      <c r="A47" s="14" t="n"/>
      <c r="B47" s="14" t="n"/>
      <c r="C47" s="14" t="inlineStr">
        <is>
          <t>الإجمالي العام</t>
        </is>
      </c>
      <c r="D47" s="15">
        <f>D13+D32+D37+D41+D46</f>
        <v/>
      </c>
      <c r="E47" s="15">
        <f>E13+E32+E37+E41+E46</f>
        <v/>
      </c>
      <c r="F47" s="15">
        <f>F13+F32+F37+F41+F46</f>
        <v/>
      </c>
      <c r="G47" s="15">
        <f>G13+G32+G37+G41+G46</f>
        <v/>
      </c>
      <c r="H47" s="15">
        <f>H13+H32+H37+H41+H46</f>
        <v/>
      </c>
      <c r="I47" s="15">
        <f>I13+I32+I37+I41+I46</f>
        <v/>
      </c>
      <c r="J47" s="15">
        <f>J13+J32+J37+J41+J46</f>
        <v/>
      </c>
      <c r="K47" s="15">
        <f>K13+K32+K37+K41+K46</f>
        <v/>
      </c>
      <c r="L47" s="15">
        <f>L13+L32+L37+L41+L46</f>
        <v/>
      </c>
      <c r="M47" s="15">
        <f>M13+M32+M37+M41+M46</f>
        <v/>
      </c>
      <c r="N47" s="15">
        <f>N13+N32+N37+N41+N46</f>
        <v/>
      </c>
      <c r="O47" s="15">
        <f>O13+O32+O37+O41+O46</f>
        <v/>
      </c>
      <c r="P47" s="16">
        <f>IF(O47=0,"",I47/O47)</f>
        <v/>
      </c>
      <c r="Q47" s="16">
        <f>IF(O47=0,"",N47/O47)</f>
        <v/>
      </c>
    </row>
  </sheetData>
  <autoFilter ref="A5:Q46"/>
  <mergeCells count="3">
    <mergeCell ref="J4:N4"/>
    <mergeCell ref="A2:Q2"/>
    <mergeCell ref="E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2026-10-21T07:23:36Z</dcterms:created>
  <dcterms:modified xmlns:dcterms="http://purl.org/dc/terms/" xmlns:xsi="http://www.w3.org/2001/XMLSchema-instance" xsi:type="dcterms:W3CDTF">2026-10-21T07:23:36Z</dcterms:modified>
</cp:coreProperties>
</file>