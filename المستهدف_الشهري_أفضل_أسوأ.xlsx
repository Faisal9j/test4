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سيناريو الأفضل" sheetId="1" state="visible" r:id="rId1"/>
    <sheet xmlns:r="http://schemas.openxmlformats.org/officeDocument/2006/relationships" name="السيناريو الأسو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9"/>
    </font>
    <font>
      <name val="Arial"/>
      <b val="1"/>
      <color rgb="00FFFFFF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pivotButton="0" quotePrefix="0" xfId="0"/>
    <xf numFmtId="9" fontId="4" fillId="3" borderId="1" pivotButton="0" quotePrefix="0" xfId="0"/>
    <xf numFmtId="0" fontId="5" fillId="0" borderId="1" pivotButton="0" quotePrefix="0" xfId="0"/>
    <xf numFmtId="164" fontId="5" fillId="0" borderId="1" pivotButton="0" quotePrefix="0" xfId="0"/>
    <xf numFmtId="9" fontId="5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9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"/>
  <sheetViews>
    <sheetView rightToLeft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1" t="inlineStr">
        <is>
          <t>المستهدف والمحصل التراكمي حتى سبتمبر والشهري سبتمبر–ديسمبر 2026 — الأفضل (متفائل)</t>
        </is>
      </c>
    </row>
    <row r="2" ht="60" customHeight="1">
      <c r="A2" s="2" t="inlineStr">
        <is>
          <t>المستهدف والمحصل الفعلي من ملف المراقبة (قبل الاستقطاع، بدون ضريبة القيمة المضافة). التراكمي = مجموع يناير إلى سبتمبر. أكتوبر: المحصل حتى تاريخ الملف مع توقع الشهر كاملاً. نوفمبر وديسمبر: توقع. الأرقام بالريال والحسابات مجمّعة تحت التبويب. طريقة الأفضل: لكل شهر، الأكبر بين التوقع الأساسي ومتوسط أعلى قيمتين تاريخيتين لنفس الشهر (2023–2025) × معامل الاتجاه (لا يقل عن 1)، بسقف 1.5 ضعف الأساسي.</t>
        </is>
      </c>
    </row>
    <row r="4">
      <c r="A4" s="3" t="inlineStr">
        <is>
          <t>التبويب</t>
        </is>
      </c>
      <c r="B4" s="3" t="inlineStr">
        <is>
          <t>رقم الحساب</t>
        </is>
      </c>
      <c r="C4" s="3" t="inlineStr">
        <is>
          <t>اسم الحساب</t>
        </is>
      </c>
      <c r="D4" s="3" t="inlineStr">
        <is>
          <t>التراكمي يناير–سبتمبر (فعلي)</t>
        </is>
      </c>
      <c r="E4" s="3" t="n"/>
      <c r="F4" s="3" t="n"/>
      <c r="G4" s="3" t="n"/>
      <c r="H4" s="3" t="inlineStr">
        <is>
          <t>سبتمبر (فعلي)</t>
        </is>
      </c>
      <c r="I4" s="3" t="n"/>
      <c r="J4" s="3" t="n"/>
      <c r="K4" s="3" t="n"/>
      <c r="L4" s="3" t="inlineStr">
        <is>
          <t>أكتوبر</t>
        </is>
      </c>
      <c r="M4" s="3" t="n"/>
      <c r="N4" s="3" t="n"/>
      <c r="O4" s="3" t="n"/>
      <c r="P4" s="3" t="n"/>
      <c r="Q4" s="3" t="inlineStr">
        <is>
          <t>نوفمبر</t>
        </is>
      </c>
      <c r="R4" s="3" t="n"/>
      <c r="S4" s="3" t="n"/>
      <c r="T4" s="3" t="n"/>
      <c r="U4" s="3" t="inlineStr">
        <is>
          <t>ديسمبر</t>
        </is>
      </c>
      <c r="V4" s="3" t="n"/>
      <c r="W4" s="3" t="n"/>
      <c r="X4" s="3" t="n"/>
      <c r="Y4" s="3" t="inlineStr">
        <is>
          <t>المجموع سبتمبر–ديسمبر</t>
        </is>
      </c>
      <c r="Z4" s="3" t="n"/>
      <c r="AA4" s="3" t="n"/>
      <c r="AB4" s="3" t="n"/>
    </row>
    <row r="5" ht="34" customHeight="1">
      <c r="A5" s="3" t="n"/>
      <c r="B5" s="3" t="n"/>
      <c r="C5" s="3" t="n"/>
      <c r="D5" s="3" t="inlineStr">
        <is>
          <t>المستهدف</t>
        </is>
      </c>
      <c r="E5" s="3" t="inlineStr">
        <is>
          <t>المحصل الفعلي</t>
        </is>
      </c>
      <c r="F5" s="3" t="inlineStr">
        <is>
          <t>الفرق عن المستهدف</t>
        </is>
      </c>
      <c r="G5" s="3" t="inlineStr">
        <is>
          <t>% من المستهدف</t>
        </is>
      </c>
      <c r="H5" s="3" t="inlineStr">
        <is>
          <t>المستهدف</t>
        </is>
      </c>
      <c r="I5" s="3" t="inlineStr">
        <is>
          <t>المحصل الفعلي</t>
        </is>
      </c>
      <c r="J5" s="3" t="inlineStr">
        <is>
          <t>الفرق عن المستهدف</t>
        </is>
      </c>
      <c r="K5" s="3" t="inlineStr">
        <is>
          <t>% من المستهدف</t>
        </is>
      </c>
      <c r="L5" s="3" t="inlineStr">
        <is>
          <t>المستهدف</t>
        </is>
      </c>
      <c r="M5" s="3" t="inlineStr">
        <is>
          <t>المحصل حتى تاريخه</t>
        </is>
      </c>
      <c r="N5" s="3" t="inlineStr">
        <is>
          <t>المتوقع (الشهر كاملاً)</t>
        </is>
      </c>
      <c r="O5" s="3" t="inlineStr">
        <is>
          <t>الفرق عن المستهدف</t>
        </is>
      </c>
      <c r="P5" s="3" t="inlineStr">
        <is>
          <t>% من المستهدف</t>
        </is>
      </c>
      <c r="Q5" s="3" t="inlineStr">
        <is>
          <t>المستهدف</t>
        </is>
      </c>
      <c r="R5" s="3" t="inlineStr">
        <is>
          <t>المتوقع</t>
        </is>
      </c>
      <c r="S5" s="3" t="inlineStr">
        <is>
          <t>الفرق عن المستهدف</t>
        </is>
      </c>
      <c r="T5" s="3" t="inlineStr">
        <is>
          <t>% من المستهدف</t>
        </is>
      </c>
      <c r="U5" s="3" t="inlineStr">
        <is>
          <t>المستهدف</t>
        </is>
      </c>
      <c r="V5" s="3" t="inlineStr">
        <is>
          <t>المتوقع</t>
        </is>
      </c>
      <c r="W5" s="3" t="inlineStr">
        <is>
          <t>الفرق عن المستهدف</t>
        </is>
      </c>
      <c r="X5" s="3" t="inlineStr">
        <is>
          <t>% من المستهدف</t>
        </is>
      </c>
      <c r="Y5" s="3" t="inlineStr">
        <is>
          <t>المستهدف</t>
        </is>
      </c>
      <c r="Z5" s="3" t="inlineStr">
        <is>
          <t>المحصل + المتوقع</t>
        </is>
      </c>
      <c r="AA5" s="3" t="inlineStr">
        <is>
          <t>الفرق عن المستهدف</t>
        </is>
      </c>
      <c r="AB5" s="3" t="inlineStr">
        <is>
          <t>% من المستهدف</t>
        </is>
      </c>
    </row>
    <row r="6">
      <c r="A6" s="4" t="inlineStr">
        <is>
          <t>إيرادات إستثمارية</t>
        </is>
      </c>
      <c r="B6" s="4" t="n"/>
      <c r="C6" s="4" t="inlineStr">
        <is>
          <t>إجمالي إيرادات إستثمارية</t>
        </is>
      </c>
      <c r="D6" s="5">
        <f>SUM(D7:D13)</f>
        <v/>
      </c>
      <c r="E6" s="5">
        <f>SUM(E7:E13)</f>
        <v/>
      </c>
      <c r="F6" s="5">
        <f>E6-D6</f>
        <v/>
      </c>
      <c r="G6" s="6">
        <f>IF(D6=0,"",E6/D6)</f>
        <v/>
      </c>
      <c r="H6" s="5">
        <f>SUM(H7:H13)</f>
        <v/>
      </c>
      <c r="I6" s="5">
        <f>SUM(I7:I13)</f>
        <v/>
      </c>
      <c r="J6" s="5">
        <f>I6-H6</f>
        <v/>
      </c>
      <c r="K6" s="6">
        <f>IF(H6=0,"",I6/H6)</f>
        <v/>
      </c>
      <c r="L6" s="5">
        <f>SUM(L7:L13)</f>
        <v/>
      </c>
      <c r="M6" s="5">
        <f>SUM(M7:M13)</f>
        <v/>
      </c>
      <c r="N6" s="5">
        <f>SUM(N7:N13)</f>
        <v/>
      </c>
      <c r="O6" s="5">
        <f>N6-L6</f>
        <v/>
      </c>
      <c r="P6" s="6">
        <f>IF(L6=0,"",N6/L6)</f>
        <v/>
      </c>
      <c r="Q6" s="5">
        <f>SUM(Q7:Q13)</f>
        <v/>
      </c>
      <c r="R6" s="5">
        <f>SUM(R7:R13)</f>
        <v/>
      </c>
      <c r="S6" s="5">
        <f>R6-Q6</f>
        <v/>
      </c>
      <c r="T6" s="6">
        <f>IF(Q6=0,"",R6/Q6)</f>
        <v/>
      </c>
      <c r="U6" s="5">
        <f>SUM(U7:U13)</f>
        <v/>
      </c>
      <c r="V6" s="5">
        <f>SUM(V7:V13)</f>
        <v/>
      </c>
      <c r="W6" s="5">
        <f>V6-U6</f>
        <v/>
      </c>
      <c r="X6" s="6">
        <f>IF(U6=0,"",V6/U6)</f>
        <v/>
      </c>
      <c r="Y6" s="5">
        <f>H6+L6+Q6+U6</f>
        <v/>
      </c>
      <c r="Z6" s="5">
        <f>I6+N6+R6+V6</f>
        <v/>
      </c>
      <c r="AA6" s="5">
        <f>Z6-Y6</f>
        <v/>
      </c>
      <c r="AB6" s="6">
        <f>IF(Y6=0,"",Z6/Y6)</f>
        <v/>
      </c>
    </row>
    <row r="7">
      <c r="A7" s="7" t="inlineStr">
        <is>
          <t>إيرادات إستثمارية</t>
        </is>
      </c>
      <c r="B7" s="7" t="inlineStr">
        <is>
          <t>14155</t>
        </is>
      </c>
      <c r="C7" s="7" t="inlineStr">
        <is>
          <t>ريع الأراضي (تأجير الأراض )</t>
        </is>
      </c>
      <c r="D7" s="8" t="n">
        <v>428594563.82</v>
      </c>
      <c r="E7" s="8" t="n">
        <v>612328416.96</v>
      </c>
      <c r="F7" s="8">
        <f>E7-D7</f>
        <v/>
      </c>
      <c r="G7" s="9">
        <f>IF(D7=0,"",E7/D7)</f>
        <v/>
      </c>
      <c r="H7" s="8" t="n">
        <v>51408989.3</v>
      </c>
      <c r="I7" s="8" t="n">
        <v>55595082.92</v>
      </c>
      <c r="J7" s="8">
        <f>I7-H7</f>
        <v/>
      </c>
      <c r="K7" s="9">
        <f>IF(H7=0,"",I7/H7)</f>
        <v/>
      </c>
      <c r="L7" s="8" t="n">
        <v>199630948.23</v>
      </c>
      <c r="M7" s="8" t="n">
        <v>32158747.69</v>
      </c>
      <c r="N7" s="8" t="n">
        <v>183778939.76</v>
      </c>
      <c r="O7" s="8">
        <f>N7-L7</f>
        <v/>
      </c>
      <c r="P7" s="9">
        <f>IF(L7=0,"",N7/L7)</f>
        <v/>
      </c>
      <c r="Q7" s="8" t="n">
        <v>66228430.48</v>
      </c>
      <c r="R7" s="8" t="n">
        <v>136900856.43</v>
      </c>
      <c r="S7" s="8">
        <f>R7-Q7</f>
        <v/>
      </c>
      <c r="T7" s="9">
        <f>IF(Q7=0,"",R7/Q7)</f>
        <v/>
      </c>
      <c r="U7" s="8" t="n">
        <v>42439465.39</v>
      </c>
      <c r="V7" s="8" t="n">
        <v>79276888.41</v>
      </c>
      <c r="W7" s="8">
        <f>V7-U7</f>
        <v/>
      </c>
      <c r="X7" s="9">
        <f>IF(U7=0,"",V7/U7)</f>
        <v/>
      </c>
      <c r="Y7" s="8">
        <f>H7+L7+Q7+U7</f>
        <v/>
      </c>
      <c r="Z7" s="8">
        <f>I7+N7+R7+V7</f>
        <v/>
      </c>
      <c r="AA7" s="8">
        <f>Z7-Y7</f>
        <v/>
      </c>
      <c r="AB7" s="9">
        <f>IF(Y7=0,"",Z7/Y7)</f>
        <v/>
      </c>
    </row>
    <row r="8">
      <c r="A8" s="7" t="inlineStr">
        <is>
          <t>إيرادات إستثمارية</t>
        </is>
      </c>
      <c r="B8" s="7" t="inlineStr">
        <is>
          <t>142162</t>
        </is>
      </c>
      <c r="C8" s="7" t="inlineStr">
        <is>
          <t>إيرادات  تأجير المرافق</t>
        </is>
      </c>
      <c r="D8" s="8" t="n">
        <v>539363594.54</v>
      </c>
      <c r="E8" s="8" t="n">
        <v>428392037.77</v>
      </c>
      <c r="F8" s="8">
        <f>E8-D8</f>
        <v/>
      </c>
      <c r="G8" s="9">
        <f>IF(D8=0,"",E8/D8)</f>
        <v/>
      </c>
      <c r="H8" s="8" t="n">
        <v>24198982.49</v>
      </c>
      <c r="I8" s="8" t="n">
        <v>1895695.14</v>
      </c>
      <c r="J8" s="8">
        <f>I8-H8</f>
        <v/>
      </c>
      <c r="K8" s="9">
        <f>IF(H8=0,"",I8/H8)</f>
        <v/>
      </c>
      <c r="L8" s="8" t="n">
        <v>28067945.58</v>
      </c>
      <c r="M8" s="8" t="n">
        <v>322955.69</v>
      </c>
      <c r="N8" s="8" t="n">
        <v>984439.64</v>
      </c>
      <c r="O8" s="8">
        <f>N8-L8</f>
        <v/>
      </c>
      <c r="P8" s="9">
        <f>IF(L8=0,"",N8/L8)</f>
        <v/>
      </c>
      <c r="Q8" s="8" t="n">
        <v>418948643.78</v>
      </c>
      <c r="R8" s="8" t="n">
        <v>33060558.07</v>
      </c>
      <c r="S8" s="8">
        <f>R8-Q8</f>
        <v/>
      </c>
      <c r="T8" s="9">
        <f>IF(Q8=0,"",R8/Q8)</f>
        <v/>
      </c>
      <c r="U8" s="8" t="n">
        <v>16895879.24</v>
      </c>
      <c r="V8" s="8" t="n">
        <v>26061705.75</v>
      </c>
      <c r="W8" s="8">
        <f>V8-U8</f>
        <v/>
      </c>
      <c r="X8" s="9">
        <f>IF(U8=0,"",V8/U8)</f>
        <v/>
      </c>
      <c r="Y8" s="8">
        <f>H8+L8+Q8+U8</f>
        <v/>
      </c>
      <c r="Z8" s="8">
        <f>I8+N8+R8+V8</f>
        <v/>
      </c>
      <c r="AA8" s="8">
        <f>Z8-Y8</f>
        <v/>
      </c>
      <c r="AB8" s="9">
        <f>IF(Y8=0,"",Z8/Y8)</f>
        <v/>
      </c>
    </row>
    <row r="9">
      <c r="A9" s="7" t="inlineStr">
        <is>
          <t>إيرادات إستثمارية</t>
        </is>
      </c>
      <c r="B9" s="7" t="inlineStr">
        <is>
          <t>142163</t>
        </is>
      </c>
      <c r="C9" s="7" t="inlineStr">
        <is>
          <t>إيرادات  تأجير مباني تجارية</t>
        </is>
      </c>
      <c r="D9" s="8" t="n">
        <v>37204527.68</v>
      </c>
      <c r="E9" s="8" t="n">
        <v>9866784.26</v>
      </c>
      <c r="F9" s="8">
        <f>E9-D9</f>
        <v/>
      </c>
      <c r="G9" s="9">
        <f>IF(D9=0,"",E9/D9)</f>
        <v/>
      </c>
      <c r="H9" s="8" t="n">
        <v>1231752.96</v>
      </c>
      <c r="I9" s="8" t="n">
        <v>166960.5</v>
      </c>
      <c r="J9" s="8">
        <f>I9-H9</f>
        <v/>
      </c>
      <c r="K9" s="9">
        <f>IF(H9=0,"",I9/H9)</f>
        <v/>
      </c>
      <c r="L9" s="8" t="n">
        <v>1589560.87</v>
      </c>
      <c r="M9" s="8" t="n">
        <v>380080</v>
      </c>
      <c r="N9" s="8" t="n">
        <v>1745875.88</v>
      </c>
      <c r="O9" s="8">
        <f>N9-L9</f>
        <v/>
      </c>
      <c r="P9" s="9">
        <f>IF(L9=0,"",N9/L9)</f>
        <v/>
      </c>
      <c r="Q9" s="8" t="n">
        <v>10001631.64</v>
      </c>
      <c r="R9" s="8" t="n">
        <v>1445059.5</v>
      </c>
      <c r="S9" s="8">
        <f>R9-Q9</f>
        <v/>
      </c>
      <c r="T9" s="9">
        <f>IF(Q9=0,"",R9/Q9)</f>
        <v/>
      </c>
      <c r="U9" s="8" t="n">
        <v>3599329.08</v>
      </c>
      <c r="V9" s="8" t="n">
        <v>687274.05</v>
      </c>
      <c r="W9" s="8">
        <f>V9-U9</f>
        <v/>
      </c>
      <c r="X9" s="9">
        <f>IF(U9=0,"",V9/U9)</f>
        <v/>
      </c>
      <c r="Y9" s="8">
        <f>H9+L9+Q9+U9</f>
        <v/>
      </c>
      <c r="Z9" s="8">
        <f>I9+N9+R9+V9</f>
        <v/>
      </c>
      <c r="AA9" s="8">
        <f>Z9-Y9</f>
        <v/>
      </c>
      <c r="AB9" s="9">
        <f>IF(Y9=0,"",Z9/Y9)</f>
        <v/>
      </c>
    </row>
    <row r="10">
      <c r="A10" s="7" t="inlineStr">
        <is>
          <t>إيرادات إستثمارية</t>
        </is>
      </c>
      <c r="B10" s="7" t="inlineStr">
        <is>
          <t>1421912</t>
        </is>
      </c>
      <c r="C10" s="7" t="inlineStr">
        <is>
          <t>تأجير العقارات لأغراض مؤقته</t>
        </is>
      </c>
      <c r="D10" s="8" t="n">
        <v>1967949.05</v>
      </c>
      <c r="E10" s="8" t="n">
        <v>1356112.55</v>
      </c>
      <c r="F10" s="8">
        <f>E10-D10</f>
        <v/>
      </c>
      <c r="G10" s="9">
        <f>IF(D10=0,"",E10/D10)</f>
        <v/>
      </c>
      <c r="H10" s="8" t="n">
        <v>317044.29</v>
      </c>
      <c r="I10" s="8" t="n">
        <v>404752.69</v>
      </c>
      <c r="J10" s="8">
        <f>I10-H10</f>
        <v/>
      </c>
      <c r="K10" s="9">
        <f>IF(H10=0,"",I10/H10)</f>
        <v/>
      </c>
      <c r="L10" s="8" t="n">
        <v>210967.17</v>
      </c>
      <c r="M10" s="8" t="n">
        <v>439507.53</v>
      </c>
      <c r="N10" s="8" t="n">
        <v>439507.53</v>
      </c>
      <c r="O10" s="8">
        <f>N10-L10</f>
        <v/>
      </c>
      <c r="P10" s="9">
        <f>IF(L10=0,"",N10/L10)</f>
        <v/>
      </c>
      <c r="Q10" s="8" t="n">
        <v>150620.18</v>
      </c>
      <c r="R10" s="8" t="n">
        <v>211919.02</v>
      </c>
      <c r="S10" s="8">
        <f>R10-Q10</f>
        <v/>
      </c>
      <c r="T10" s="9">
        <f>IF(Q10=0,"",R10/Q10)</f>
        <v/>
      </c>
      <c r="U10" s="8" t="n">
        <v>150849.35</v>
      </c>
      <c r="V10" s="8" t="n">
        <v>117531.54</v>
      </c>
      <c r="W10" s="8">
        <f>V10-U10</f>
        <v/>
      </c>
      <c r="X10" s="9">
        <f>IF(U10=0,"",V10/U10)</f>
        <v/>
      </c>
      <c r="Y10" s="8">
        <f>H10+L10+Q10+U10</f>
        <v/>
      </c>
      <c r="Z10" s="8">
        <f>I10+N10+R10+V10</f>
        <v/>
      </c>
      <c r="AA10" s="8">
        <f>Z10-Y10</f>
        <v/>
      </c>
      <c r="AB10" s="9">
        <f>IF(Y10=0,"",Z10/Y10)</f>
        <v/>
      </c>
    </row>
    <row r="11">
      <c r="A11" s="7" t="inlineStr">
        <is>
          <t>إيرادات إستثمارية</t>
        </is>
      </c>
      <c r="B11" s="7" t="inlineStr">
        <is>
          <t>141229</t>
        </is>
      </c>
      <c r="C11" s="7" t="inlineStr">
        <is>
          <t>أرباح أخرى</t>
        </is>
      </c>
      <c r="D11" s="8" t="n">
        <v>30000000</v>
      </c>
      <c r="E11" s="8" t="n">
        <v>60000</v>
      </c>
      <c r="F11" s="8">
        <f>E11-D11</f>
        <v/>
      </c>
      <c r="G11" s="9">
        <f>IF(D11=0,"",E11/D11)</f>
        <v/>
      </c>
      <c r="H11" s="8" t="n">
        <v>0</v>
      </c>
      <c r="I11" s="8" t="n">
        <v>0</v>
      </c>
      <c r="J11" s="8">
        <f>I11-H11</f>
        <v/>
      </c>
      <c r="K11" s="9">
        <f>IF(H11=0,"",I11/H11)</f>
        <v/>
      </c>
      <c r="L11" s="8" t="n">
        <v>0</v>
      </c>
      <c r="M11" s="8" t="n">
        <v>60314</v>
      </c>
      <c r="N11" s="8" t="n">
        <v>60314</v>
      </c>
      <c r="O11" s="8">
        <f>N11-L11</f>
        <v/>
      </c>
      <c r="P11" s="9">
        <f>IF(L11=0,"",N11/L11)</f>
        <v/>
      </c>
      <c r="Q11" s="8" t="n">
        <v>0</v>
      </c>
      <c r="R11" s="8" t="n">
        <v>45000</v>
      </c>
      <c r="S11" s="8">
        <f>R11-Q11</f>
        <v/>
      </c>
      <c r="T11" s="9">
        <f>IF(Q11=0,"",R11/Q11)</f>
        <v/>
      </c>
      <c r="U11" s="8" t="n">
        <v>0</v>
      </c>
      <c r="V11" s="8" t="n">
        <v>0</v>
      </c>
      <c r="W11" s="8">
        <f>V11-U11</f>
        <v/>
      </c>
      <c r="X11" s="9">
        <f>IF(U11=0,"",V11/U11)</f>
        <v/>
      </c>
      <c r="Y11" s="8">
        <f>H11+L11+Q11+U11</f>
        <v/>
      </c>
      <c r="Z11" s="8">
        <f>I11+N11+R11+V11</f>
        <v/>
      </c>
      <c r="AA11" s="8">
        <f>Z11-Y11</f>
        <v/>
      </c>
      <c r="AB11" s="9">
        <f>IF(Y11=0,"",Z11/Y11)</f>
        <v/>
      </c>
    </row>
    <row r="12">
      <c r="A12" s="7" t="inlineStr">
        <is>
          <t>إيرادات إستثمارية</t>
        </is>
      </c>
      <c r="B12" s="7" t="inlineStr">
        <is>
          <t>1421903</t>
        </is>
      </c>
      <c r="C12" s="7" t="inlineStr">
        <is>
          <t>مبيعات التيار الكهربائي</t>
        </is>
      </c>
      <c r="D12" s="8" t="n">
        <v>1685201</v>
      </c>
      <c r="E12" s="8" t="n">
        <v>143551.39</v>
      </c>
      <c r="F12" s="8">
        <f>E12-D12</f>
        <v/>
      </c>
      <c r="G12" s="9">
        <f>IF(D12=0,"",E12/D12)</f>
        <v/>
      </c>
      <c r="H12" s="8" t="n">
        <v>226800</v>
      </c>
      <c r="I12" s="8" t="n">
        <v>0</v>
      </c>
      <c r="J12" s="8">
        <f>I12-H12</f>
        <v/>
      </c>
      <c r="K12" s="9">
        <f>IF(H12=0,"",I12/H12)</f>
        <v/>
      </c>
      <c r="L12" s="8" t="n">
        <v>187900</v>
      </c>
      <c r="M12" s="8" t="n">
        <v>0</v>
      </c>
      <c r="N12" s="8" t="n">
        <v>0</v>
      </c>
      <c r="O12" s="8">
        <f>N12-L12</f>
        <v/>
      </c>
      <c r="P12" s="9">
        <f>IF(L12=0,"",N12/L12)</f>
        <v/>
      </c>
      <c r="Q12" s="8" t="n">
        <v>219900</v>
      </c>
      <c r="R12" s="8" t="n">
        <v>0</v>
      </c>
      <c r="S12" s="8">
        <f>R12-Q12</f>
        <v/>
      </c>
      <c r="T12" s="9">
        <f>IF(Q12=0,"",R12/Q12)</f>
        <v/>
      </c>
      <c r="U12" s="8" t="n">
        <v>298820</v>
      </c>
      <c r="V12" s="8" t="n">
        <v>0</v>
      </c>
      <c r="W12" s="8">
        <f>V12-U12</f>
        <v/>
      </c>
      <c r="X12" s="9">
        <f>IF(U12=0,"",V12/U12)</f>
        <v/>
      </c>
      <c r="Y12" s="8">
        <f>H12+L12+Q12+U12</f>
        <v/>
      </c>
      <c r="Z12" s="8">
        <f>I12+N12+R12+V12</f>
        <v/>
      </c>
      <c r="AA12" s="8">
        <f>Z12-Y12</f>
        <v/>
      </c>
      <c r="AB12" s="9">
        <f>IF(Y12=0,"",Z12/Y12)</f>
        <v/>
      </c>
    </row>
    <row r="13">
      <c r="A13" s="7" t="inlineStr">
        <is>
          <t>إيرادات إستثمارية</t>
        </is>
      </c>
      <c r="B13" s="7" t="inlineStr">
        <is>
          <t>1422103</t>
        </is>
      </c>
      <c r="C13" s="7" t="inlineStr">
        <is>
          <t>تراخيص المحلات</t>
        </is>
      </c>
      <c r="D13" s="8" t="n">
        <v>0</v>
      </c>
      <c r="E13" s="8" t="n">
        <v>0</v>
      </c>
      <c r="F13" s="8">
        <f>E13-D13</f>
        <v/>
      </c>
      <c r="G13" s="9">
        <f>IF(D13=0,"",E13/D13)</f>
        <v/>
      </c>
      <c r="H13" s="8" t="n">
        <v>0</v>
      </c>
      <c r="I13" s="8" t="n">
        <v>0</v>
      </c>
      <c r="J13" s="8">
        <f>I13-H13</f>
        <v/>
      </c>
      <c r="K13" s="9">
        <f>IF(H13=0,"",I13/H13)</f>
        <v/>
      </c>
      <c r="L13" s="8" t="n">
        <v>0</v>
      </c>
      <c r="M13" s="8" t="n">
        <v>0</v>
      </c>
      <c r="N13" s="8" t="n">
        <v>225</v>
      </c>
      <c r="O13" s="8">
        <f>N13-L13</f>
        <v/>
      </c>
      <c r="P13" s="9">
        <f>IF(L13=0,"",N13/L13)</f>
        <v/>
      </c>
      <c r="Q13" s="8" t="n">
        <v>0</v>
      </c>
      <c r="R13" s="8" t="n">
        <v>942.8</v>
      </c>
      <c r="S13" s="8">
        <f>R13-Q13</f>
        <v/>
      </c>
      <c r="T13" s="9">
        <f>IF(Q13=0,"",R13/Q13)</f>
        <v/>
      </c>
      <c r="U13" s="8" t="n">
        <v>0</v>
      </c>
      <c r="V13" s="8" t="n">
        <v>166.9</v>
      </c>
      <c r="W13" s="8">
        <f>V13-U13</f>
        <v/>
      </c>
      <c r="X13" s="9">
        <f>IF(U13=0,"",V13/U13)</f>
        <v/>
      </c>
      <c r="Y13" s="8">
        <f>H13+L13+Q13+U13</f>
        <v/>
      </c>
      <c r="Z13" s="8">
        <f>I13+N13+R13+V13</f>
        <v/>
      </c>
      <c r="AA13" s="8">
        <f>Z13-Y13</f>
        <v/>
      </c>
      <c r="AB13" s="9">
        <f>IF(Y13=0,"",Z13/Y13)</f>
        <v/>
      </c>
    </row>
    <row r="14">
      <c r="A14" s="4" t="inlineStr">
        <is>
          <t>الرسوم والتراخيص</t>
        </is>
      </c>
      <c r="B14" s="4" t="n"/>
      <c r="C14" s="4" t="inlineStr">
        <is>
          <t>إجمالي الرسوم والتراخيص</t>
        </is>
      </c>
      <c r="D14" s="5">
        <f>SUM(D15:D32)</f>
        <v/>
      </c>
      <c r="E14" s="5">
        <f>SUM(E15:E32)</f>
        <v/>
      </c>
      <c r="F14" s="5">
        <f>E14-D14</f>
        <v/>
      </c>
      <c r="G14" s="6">
        <f>IF(D14=0,"",E14/D14)</f>
        <v/>
      </c>
      <c r="H14" s="5">
        <f>SUM(H15:H32)</f>
        <v/>
      </c>
      <c r="I14" s="5">
        <f>SUM(I15:I32)</f>
        <v/>
      </c>
      <c r="J14" s="5">
        <f>I14-H14</f>
        <v/>
      </c>
      <c r="K14" s="6">
        <f>IF(H14=0,"",I14/H14)</f>
        <v/>
      </c>
      <c r="L14" s="5">
        <f>SUM(L15:L32)</f>
        <v/>
      </c>
      <c r="M14" s="5">
        <f>SUM(M15:M32)</f>
        <v/>
      </c>
      <c r="N14" s="5">
        <f>SUM(N15:N32)</f>
        <v/>
      </c>
      <c r="O14" s="5">
        <f>N14-L14</f>
        <v/>
      </c>
      <c r="P14" s="6">
        <f>IF(L14=0,"",N14/L14)</f>
        <v/>
      </c>
      <c r="Q14" s="5">
        <f>SUM(Q15:Q32)</f>
        <v/>
      </c>
      <c r="R14" s="5">
        <f>SUM(R15:R32)</f>
        <v/>
      </c>
      <c r="S14" s="5">
        <f>R14-Q14</f>
        <v/>
      </c>
      <c r="T14" s="6">
        <f>IF(Q14=0,"",R14/Q14)</f>
        <v/>
      </c>
      <c r="U14" s="5">
        <f>SUM(U15:U32)</f>
        <v/>
      </c>
      <c r="V14" s="5">
        <f>SUM(V15:V32)</f>
        <v/>
      </c>
      <c r="W14" s="5">
        <f>V14-U14</f>
        <v/>
      </c>
      <c r="X14" s="6">
        <f>IF(U14=0,"",V14/U14)</f>
        <v/>
      </c>
      <c r="Y14" s="5">
        <f>H14+L14+Q14+U14</f>
        <v/>
      </c>
      <c r="Z14" s="5">
        <f>I14+N14+R14+V14</f>
        <v/>
      </c>
      <c r="AA14" s="5">
        <f>Z14-Y14</f>
        <v/>
      </c>
      <c r="AB14" s="6">
        <f>IF(Y14=0,"",Z14/Y14)</f>
        <v/>
      </c>
    </row>
    <row r="15">
      <c r="A15" s="7" t="inlineStr">
        <is>
          <t>الرسوم والتراخيص</t>
        </is>
      </c>
      <c r="B15" s="7" t="inlineStr">
        <is>
          <t>11452104</t>
        </is>
      </c>
      <c r="C15" s="7" t="inlineStr">
        <is>
          <t>إصدار رخص الأنشطة التجارية</t>
        </is>
      </c>
      <c r="D15" s="8" t="n">
        <v>242373143.58</v>
      </c>
      <c r="E15" s="8" t="n">
        <v>246600923.65</v>
      </c>
      <c r="F15" s="8">
        <f>E15-D15</f>
        <v/>
      </c>
      <c r="G15" s="9">
        <f>IF(D15=0,"",E15/D15)</f>
        <v/>
      </c>
      <c r="H15" s="8" t="n">
        <v>29676888.63</v>
      </c>
      <c r="I15" s="8" t="n">
        <v>28933649.47</v>
      </c>
      <c r="J15" s="8">
        <f>I15-H15</f>
        <v/>
      </c>
      <c r="K15" s="9">
        <f>IF(H15=0,"",I15/H15)</f>
        <v/>
      </c>
      <c r="L15" s="8" t="n">
        <v>27386694.11</v>
      </c>
      <c r="M15" s="8" t="n">
        <v>13834961.34</v>
      </c>
      <c r="N15" s="8" t="n">
        <v>32915174.69</v>
      </c>
      <c r="O15" s="8">
        <f>N15-L15</f>
        <v/>
      </c>
      <c r="P15" s="9">
        <f>IF(L15=0,"",N15/L15)</f>
        <v/>
      </c>
      <c r="Q15" s="8" t="n">
        <v>18812341.93</v>
      </c>
      <c r="R15" s="8" t="n">
        <v>27827753.11</v>
      </c>
      <c r="S15" s="8">
        <f>R15-Q15</f>
        <v/>
      </c>
      <c r="T15" s="9">
        <f>IF(Q15=0,"",R15/Q15)</f>
        <v/>
      </c>
      <c r="U15" s="8" t="n">
        <v>27342479.23</v>
      </c>
      <c r="V15" s="8" t="n">
        <v>38013501.22</v>
      </c>
      <c r="W15" s="8">
        <f>V15-U15</f>
        <v/>
      </c>
      <c r="X15" s="9">
        <f>IF(U15=0,"",V15/U15)</f>
        <v/>
      </c>
      <c r="Y15" s="8">
        <f>H15+L15+Q15+U15</f>
        <v/>
      </c>
      <c r="Z15" s="8">
        <f>I15+N15+R15+V15</f>
        <v/>
      </c>
      <c r="AA15" s="8">
        <f>Z15-Y15</f>
        <v/>
      </c>
      <c r="AB15" s="9">
        <f>IF(Y15=0,"",Z15/Y15)</f>
        <v/>
      </c>
    </row>
    <row r="16">
      <c r="A16" s="7" t="inlineStr">
        <is>
          <t>الرسوم والتراخيص</t>
        </is>
      </c>
      <c r="B16" s="7" t="inlineStr">
        <is>
          <t>11452103</t>
        </is>
      </c>
      <c r="C16" s="7" t="inlineStr">
        <is>
          <t>ايراد اصدار تراخيص المباني والاسوار - أمانة منطقة الرياض</t>
        </is>
      </c>
      <c r="D16" s="8" t="n">
        <v>246501816.49</v>
      </c>
      <c r="E16" s="8" t="n">
        <v>203647636.8</v>
      </c>
      <c r="F16" s="8">
        <f>E16-D16</f>
        <v/>
      </c>
      <c r="G16" s="9">
        <f>IF(D16=0,"",E16/D16)</f>
        <v/>
      </c>
      <c r="H16" s="8" t="n">
        <v>26586467.38</v>
      </c>
      <c r="I16" s="8" t="n">
        <v>25008472.12</v>
      </c>
      <c r="J16" s="8">
        <f>I16-H16</f>
        <v/>
      </c>
      <c r="K16" s="9">
        <f>IF(H16=0,"",I16/H16)</f>
        <v/>
      </c>
      <c r="L16" s="8" t="n">
        <v>24670480.29</v>
      </c>
      <c r="M16" s="8" t="n">
        <v>10111052.72</v>
      </c>
      <c r="N16" s="8" t="n">
        <v>32638879.12</v>
      </c>
      <c r="O16" s="8">
        <f>N16-L16</f>
        <v/>
      </c>
      <c r="P16" s="9">
        <f>IF(L16=0,"",N16/L16)</f>
        <v/>
      </c>
      <c r="Q16" s="8" t="n">
        <v>20693616.54</v>
      </c>
      <c r="R16" s="8" t="n">
        <v>25887350.05</v>
      </c>
      <c r="S16" s="8">
        <f>R16-Q16</f>
        <v/>
      </c>
      <c r="T16" s="9">
        <f>IF(Q16=0,"",R16/Q16)</f>
        <v/>
      </c>
      <c r="U16" s="8" t="n">
        <v>25538510.67</v>
      </c>
      <c r="V16" s="8" t="n">
        <v>34780251.58</v>
      </c>
      <c r="W16" s="8">
        <f>V16-U16</f>
        <v/>
      </c>
      <c r="X16" s="9">
        <f>IF(U16=0,"",V16/U16)</f>
        <v/>
      </c>
      <c r="Y16" s="8">
        <f>H16+L16+Q16+U16</f>
        <v/>
      </c>
      <c r="Z16" s="8">
        <f>I16+N16+R16+V16</f>
        <v/>
      </c>
      <c r="AA16" s="8">
        <f>Z16-Y16</f>
        <v/>
      </c>
      <c r="AB16" s="9">
        <f>IF(Y16=0,"",Z16/Y16)</f>
        <v/>
      </c>
    </row>
    <row r="17">
      <c r="A17" s="7" t="inlineStr">
        <is>
          <t>الرسوم والتراخيص</t>
        </is>
      </c>
      <c r="B17" s="7" t="inlineStr">
        <is>
          <t>11452512</t>
        </is>
      </c>
      <c r="C17" s="7" t="inlineStr">
        <is>
          <t>ايرادات لوحات المحلات</t>
        </is>
      </c>
      <c r="D17" s="8" t="n">
        <v>194063368.36</v>
      </c>
      <c r="E17" s="8" t="n">
        <v>174065059.34</v>
      </c>
      <c r="F17" s="8">
        <f>E17-D17</f>
        <v/>
      </c>
      <c r="G17" s="9">
        <f>IF(D17=0,"",E17/D17)</f>
        <v/>
      </c>
      <c r="H17" s="8" t="n">
        <v>23511976.42</v>
      </c>
      <c r="I17" s="8" t="n">
        <v>20830708.33</v>
      </c>
      <c r="J17" s="8">
        <f>I17-H17</f>
        <v/>
      </c>
      <c r="K17" s="9">
        <f>IF(H17=0,"",I17/H17)</f>
        <v/>
      </c>
      <c r="L17" s="8" t="n">
        <v>21887337.58</v>
      </c>
      <c r="M17" s="8" t="n">
        <v>10443752.94</v>
      </c>
      <c r="N17" s="8" t="n">
        <v>23466512.89</v>
      </c>
      <c r="O17" s="8">
        <f>N17-L17</f>
        <v/>
      </c>
      <c r="P17" s="9">
        <f>IF(L17=0,"",N17/L17)</f>
        <v/>
      </c>
      <c r="Q17" s="8" t="n">
        <v>13388655.95</v>
      </c>
      <c r="R17" s="8" t="n">
        <v>19258898.38</v>
      </c>
      <c r="S17" s="8">
        <f>R17-Q17</f>
        <v/>
      </c>
      <c r="T17" s="9">
        <f>IF(Q17=0,"",R17/Q17)</f>
        <v/>
      </c>
      <c r="U17" s="8" t="n">
        <v>18892122.62</v>
      </c>
      <c r="V17" s="8" t="n">
        <v>25776769.41</v>
      </c>
      <c r="W17" s="8">
        <f>V17-U17</f>
        <v/>
      </c>
      <c r="X17" s="9">
        <f>IF(U17=0,"",V17/U17)</f>
        <v/>
      </c>
      <c r="Y17" s="8">
        <f>H17+L17+Q17+U17</f>
        <v/>
      </c>
      <c r="Z17" s="8">
        <f>I17+N17+R17+V17</f>
        <v/>
      </c>
      <c r="AA17" s="8">
        <f>Z17-Y17</f>
        <v/>
      </c>
      <c r="AB17" s="9">
        <f>IF(Y17=0,"",Z17/Y17)</f>
        <v/>
      </c>
    </row>
    <row r="18">
      <c r="A18" s="7" t="inlineStr">
        <is>
          <t>الرسوم والتراخيص</t>
        </is>
      </c>
      <c r="B18" s="7" t="inlineStr">
        <is>
          <t>142113</t>
        </is>
      </c>
      <c r="C18" s="7" t="inlineStr">
        <is>
          <t>ايرادات  اللوحات الدعائية</t>
        </is>
      </c>
      <c r="D18" s="8" t="n">
        <v>68866930.05</v>
      </c>
      <c r="E18" s="8" t="n">
        <v>122668498.99</v>
      </c>
      <c r="F18" s="8">
        <f>E18-D18</f>
        <v/>
      </c>
      <c r="G18" s="9">
        <f>IF(D18=0,"",E18/D18)</f>
        <v/>
      </c>
      <c r="H18" s="8" t="n">
        <v>7319209.81</v>
      </c>
      <c r="I18" s="8" t="n">
        <v>6232151.9</v>
      </c>
      <c r="J18" s="8">
        <f>I18-H18</f>
        <v/>
      </c>
      <c r="K18" s="9">
        <f>IF(H18=0,"",I18/H18)</f>
        <v/>
      </c>
      <c r="L18" s="8" t="n">
        <v>6925446.95</v>
      </c>
      <c r="M18" s="8" t="n">
        <v>2451891.69</v>
      </c>
      <c r="N18" s="8" t="n">
        <v>12119275.12</v>
      </c>
      <c r="O18" s="8">
        <f>N18-L18</f>
        <v/>
      </c>
      <c r="P18" s="9">
        <f>IF(L18=0,"",N18/L18)</f>
        <v/>
      </c>
      <c r="Q18" s="8" t="n">
        <v>7021788.87</v>
      </c>
      <c r="R18" s="8" t="n">
        <v>15016809.91</v>
      </c>
      <c r="S18" s="8">
        <f>R18-Q18</f>
        <v/>
      </c>
      <c r="T18" s="9">
        <f>IF(Q18=0,"",R18/Q18)</f>
        <v/>
      </c>
      <c r="U18" s="8" t="n">
        <v>7262073.52</v>
      </c>
      <c r="V18" s="8" t="n">
        <v>17270461.46</v>
      </c>
      <c r="W18" s="8">
        <f>V18-U18</f>
        <v/>
      </c>
      <c r="X18" s="9">
        <f>IF(U18=0,"",V18/U18)</f>
        <v/>
      </c>
      <c r="Y18" s="8">
        <f>H18+L18+Q18+U18</f>
        <v/>
      </c>
      <c r="Z18" s="8">
        <f>I18+N18+R18+V18</f>
        <v/>
      </c>
      <c r="AA18" s="8">
        <f>Z18-Y18</f>
        <v/>
      </c>
      <c r="AB18" s="9">
        <f>IF(Y18=0,"",Z18/Y18)</f>
        <v/>
      </c>
    </row>
    <row r="19">
      <c r="A19" s="7" t="inlineStr">
        <is>
          <t>الرسوم والتراخيص</t>
        </is>
      </c>
      <c r="B19" s="7" t="inlineStr">
        <is>
          <t>1421909</t>
        </is>
      </c>
      <c r="C19" s="7" t="inlineStr">
        <is>
          <t>جمع النفايات</t>
        </is>
      </c>
      <c r="D19" s="8" t="n">
        <v>76787574.65000001</v>
      </c>
      <c r="E19" s="8" t="n">
        <v>72230227.43000001</v>
      </c>
      <c r="F19" s="8">
        <f>E19-D19</f>
        <v/>
      </c>
      <c r="G19" s="9">
        <f>IF(D19=0,"",E19/D19)</f>
        <v/>
      </c>
      <c r="H19" s="8" t="n">
        <v>10063795.27</v>
      </c>
      <c r="I19" s="8" t="n">
        <v>7787266.24</v>
      </c>
      <c r="J19" s="8">
        <f>I19-H19</f>
        <v/>
      </c>
      <c r="K19" s="9">
        <f>IF(H19=0,"",I19/H19)</f>
        <v/>
      </c>
      <c r="L19" s="8" t="n">
        <v>9414543.6</v>
      </c>
      <c r="M19" s="8" t="n">
        <v>3922507.01</v>
      </c>
      <c r="N19" s="8" t="n">
        <v>9469497.439999999</v>
      </c>
      <c r="O19" s="8">
        <f>N19-L19</f>
        <v/>
      </c>
      <c r="P19" s="9">
        <f>IF(L19=0,"",N19/L19)</f>
        <v/>
      </c>
      <c r="Q19" s="8" t="n">
        <v>6515033.17</v>
      </c>
      <c r="R19" s="8" t="n">
        <v>8621598.800000001</v>
      </c>
      <c r="S19" s="8">
        <f>R19-Q19</f>
        <v/>
      </c>
      <c r="T19" s="9">
        <f>IF(Q19=0,"",R19/Q19)</f>
        <v/>
      </c>
      <c r="U19" s="8" t="n">
        <v>5125605.45</v>
      </c>
      <c r="V19" s="8" t="n">
        <v>10172347.4</v>
      </c>
      <c r="W19" s="8">
        <f>V19-U19</f>
        <v/>
      </c>
      <c r="X19" s="9">
        <f>IF(U19=0,"",V19/U19)</f>
        <v/>
      </c>
      <c r="Y19" s="8">
        <f>H19+L19+Q19+U19</f>
        <v/>
      </c>
      <c r="Z19" s="8">
        <f>I19+N19+R19+V19</f>
        <v/>
      </c>
      <c r="AA19" s="8">
        <f>Z19-Y19</f>
        <v/>
      </c>
      <c r="AB19" s="9">
        <f>IF(Y19=0,"",Z19/Y19)</f>
        <v/>
      </c>
    </row>
    <row r="20">
      <c r="A20" s="7" t="inlineStr">
        <is>
          <t>الرسوم والتراخيص</t>
        </is>
      </c>
      <c r="B20" s="7" t="inlineStr">
        <is>
          <t>11452108</t>
        </is>
      </c>
      <c r="C20" s="7" t="inlineStr">
        <is>
          <t>ايراد اصدار القرارات المساحية - أمانة منطقة الرياض</t>
        </is>
      </c>
      <c r="D20" s="8" t="n">
        <v>22711951.97</v>
      </c>
      <c r="E20" s="8" t="n">
        <v>31027927.24</v>
      </c>
      <c r="F20" s="8">
        <f>E20-D20</f>
        <v/>
      </c>
      <c r="G20" s="9">
        <f>IF(D20=0,"",E20/D20)</f>
        <v/>
      </c>
      <c r="H20" s="8" t="n">
        <v>2558581.87</v>
      </c>
      <c r="I20" s="8" t="n">
        <v>4798828.02</v>
      </c>
      <c r="J20" s="8">
        <f>I20-H20</f>
        <v/>
      </c>
      <c r="K20" s="9">
        <f>IF(H20=0,"",I20/H20)</f>
        <v/>
      </c>
      <c r="L20" s="8" t="n">
        <v>2226695.76</v>
      </c>
      <c r="M20" s="8" t="n">
        <v>2067255.85</v>
      </c>
      <c r="N20" s="8" t="n">
        <v>4122221.29</v>
      </c>
      <c r="O20" s="8">
        <f>N20-L20</f>
        <v/>
      </c>
      <c r="P20" s="9">
        <f>IF(L20=0,"",N20/L20)</f>
        <v/>
      </c>
      <c r="Q20" s="8" t="n">
        <v>2909846.24</v>
      </c>
      <c r="R20" s="8" t="n">
        <v>2785452.69</v>
      </c>
      <c r="S20" s="8">
        <f>R20-Q20</f>
        <v/>
      </c>
      <c r="T20" s="9">
        <f>IF(Q20=0,"",R20/Q20)</f>
        <v/>
      </c>
      <c r="U20" s="8" t="n">
        <v>2950894.62</v>
      </c>
      <c r="V20" s="8" t="n">
        <v>4257657.02</v>
      </c>
      <c r="W20" s="8">
        <f>V20-U20</f>
        <v/>
      </c>
      <c r="X20" s="9">
        <f>IF(U20=0,"",V20/U20)</f>
        <v/>
      </c>
      <c r="Y20" s="8">
        <f>H20+L20+Q20+U20</f>
        <v/>
      </c>
      <c r="Z20" s="8">
        <f>I20+N20+R20+V20</f>
        <v/>
      </c>
      <c r="AA20" s="8">
        <f>Z20-Y20</f>
        <v/>
      </c>
      <c r="AB20" s="9">
        <f>IF(Y20=0,"",Z20/Y20)</f>
        <v/>
      </c>
    </row>
    <row r="21">
      <c r="A21" s="7" t="inlineStr">
        <is>
          <t>الرسوم والتراخيص</t>
        </is>
      </c>
      <c r="B21" s="7" t="inlineStr">
        <is>
          <t>1422108</t>
        </is>
      </c>
      <c r="C21" s="7" t="inlineStr">
        <is>
          <t>الشهادات الصحية</t>
        </is>
      </c>
      <c r="D21" s="8" t="n">
        <v>16790788.29</v>
      </c>
      <c r="E21" s="8" t="n">
        <v>17609402.19</v>
      </c>
      <c r="F21" s="8">
        <f>E21-D21</f>
        <v/>
      </c>
      <c r="G21" s="9">
        <f>IF(D21=0,"",E21/D21)</f>
        <v/>
      </c>
      <c r="H21" s="8" t="n">
        <v>1809193.03</v>
      </c>
      <c r="I21" s="8" t="n">
        <v>1502280</v>
      </c>
      <c r="J21" s="8">
        <f>I21-H21</f>
        <v/>
      </c>
      <c r="K21" s="9">
        <f>IF(H21=0,"",I21/H21)</f>
        <v/>
      </c>
      <c r="L21" s="8" t="n">
        <v>1100942.4</v>
      </c>
      <c r="M21" s="8" t="n">
        <v>2567043.91</v>
      </c>
      <c r="N21" s="8" t="n">
        <v>3578646.12</v>
      </c>
      <c r="O21" s="8">
        <f>N21-L21</f>
        <v/>
      </c>
      <c r="P21" s="9">
        <f>IF(L21=0,"",N21/L21)</f>
        <v/>
      </c>
      <c r="Q21" s="8" t="n">
        <v>1662305.66</v>
      </c>
      <c r="R21" s="8" t="n">
        <v>3168644.1</v>
      </c>
      <c r="S21" s="8">
        <f>R21-Q21</f>
        <v/>
      </c>
      <c r="T21" s="9">
        <f>IF(Q21=0,"",R21/Q21)</f>
        <v/>
      </c>
      <c r="U21" s="8" t="n">
        <v>1567129.26</v>
      </c>
      <c r="V21" s="8" t="n">
        <v>3019618.47</v>
      </c>
      <c r="W21" s="8">
        <f>V21-U21</f>
        <v/>
      </c>
      <c r="X21" s="9">
        <f>IF(U21=0,"",V21/U21)</f>
        <v/>
      </c>
      <c r="Y21" s="8">
        <f>H21+L21+Q21+U21</f>
        <v/>
      </c>
      <c r="Z21" s="8">
        <f>I21+N21+R21+V21</f>
        <v/>
      </c>
      <c r="AA21" s="8">
        <f>Z21-Y21</f>
        <v/>
      </c>
      <c r="AB21" s="9">
        <f>IF(Y21=0,"",Z21/Y21)</f>
        <v/>
      </c>
    </row>
    <row r="22">
      <c r="A22" s="7" t="inlineStr">
        <is>
          <t>الرسوم والتراخيص</t>
        </is>
      </c>
      <c r="B22" s="7" t="inlineStr">
        <is>
          <t>11452111</t>
        </is>
      </c>
      <c r="C22" s="7" t="inlineStr">
        <is>
          <t>المقابل المالي للسماح للأنشطة التجارية بالعمل (24) ساعة</t>
        </is>
      </c>
      <c r="D22" s="8" t="n">
        <v>5828607.12</v>
      </c>
      <c r="E22" s="8" t="n">
        <v>11389959.41</v>
      </c>
      <c r="F22" s="8">
        <f>E22-D22</f>
        <v/>
      </c>
      <c r="G22" s="9">
        <f>IF(D22=0,"",E22/D22)</f>
        <v/>
      </c>
      <c r="H22" s="8" t="n">
        <v>553551.48</v>
      </c>
      <c r="I22" s="8" t="n">
        <v>1445774.78</v>
      </c>
      <c r="J22" s="8">
        <f>I22-H22</f>
        <v/>
      </c>
      <c r="K22" s="9">
        <f>IF(H22=0,"",I22/H22)</f>
        <v/>
      </c>
      <c r="L22" s="8" t="n">
        <v>469447.53</v>
      </c>
      <c r="M22" s="8" t="n">
        <v>990178.5</v>
      </c>
      <c r="N22" s="8" t="n">
        <v>990178.5</v>
      </c>
      <c r="O22" s="8">
        <f>N22-L22</f>
        <v/>
      </c>
      <c r="P22" s="9">
        <f>IF(L22=0,"",N22/L22)</f>
        <v/>
      </c>
      <c r="Q22" s="8" t="n">
        <v>395145.64</v>
      </c>
      <c r="R22" s="8" t="n">
        <v>612509.1800000001</v>
      </c>
      <c r="S22" s="8">
        <f>R22-Q22</f>
        <v/>
      </c>
      <c r="T22" s="9">
        <f>IF(Q22=0,"",R22/Q22)</f>
        <v/>
      </c>
      <c r="U22" s="8" t="n">
        <v>411424.61</v>
      </c>
      <c r="V22" s="8" t="n">
        <v>918703.46</v>
      </c>
      <c r="W22" s="8">
        <f>V22-U22</f>
        <v/>
      </c>
      <c r="X22" s="9">
        <f>IF(U22=0,"",V22/U22)</f>
        <v/>
      </c>
      <c r="Y22" s="8">
        <f>H22+L22+Q22+U22</f>
        <v/>
      </c>
      <c r="Z22" s="8">
        <f>I22+N22+R22+V22</f>
        <v/>
      </c>
      <c r="AA22" s="8">
        <f>Z22-Y22</f>
        <v/>
      </c>
      <c r="AB22" s="9">
        <f>IF(Y22=0,"",Z22/Y22)</f>
        <v/>
      </c>
    </row>
    <row r="23">
      <c r="A23" s="7" t="inlineStr">
        <is>
          <t>الرسوم والتراخيص</t>
        </is>
      </c>
      <c r="B23" s="7" t="inlineStr">
        <is>
          <t>1422109</t>
        </is>
      </c>
      <c r="C23" s="7" t="inlineStr">
        <is>
          <t>ايرادات  الكشفية</t>
        </is>
      </c>
      <c r="D23" s="8" t="n">
        <v>8356610.39</v>
      </c>
      <c r="E23" s="8" t="n">
        <v>5723189.05</v>
      </c>
      <c r="F23" s="8">
        <f>E23-D23</f>
        <v/>
      </c>
      <c r="G23" s="9">
        <f>IF(D23=0,"",E23/D23)</f>
        <v/>
      </c>
      <c r="H23" s="8" t="n">
        <v>822366.5</v>
      </c>
      <c r="I23" s="8" t="n">
        <v>629579.8</v>
      </c>
      <c r="J23" s="8">
        <f>I23-H23</f>
        <v/>
      </c>
      <c r="K23" s="9">
        <f>IF(H23=0,"",I23/H23)</f>
        <v/>
      </c>
      <c r="L23" s="8" t="n">
        <v>991297.6899999999</v>
      </c>
      <c r="M23" s="8" t="n">
        <v>330988.56</v>
      </c>
      <c r="N23" s="8" t="n">
        <v>747291.83</v>
      </c>
      <c r="O23" s="8">
        <f>N23-L23</f>
        <v/>
      </c>
      <c r="P23" s="9">
        <f>IF(L23=0,"",N23/L23)</f>
        <v/>
      </c>
      <c r="Q23" s="8" t="n">
        <v>335310.58</v>
      </c>
      <c r="R23" s="8" t="n">
        <v>696636.59</v>
      </c>
      <c r="S23" s="8">
        <f>R23-Q23</f>
        <v/>
      </c>
      <c r="T23" s="9">
        <f>IF(Q23=0,"",R23/Q23)</f>
        <v/>
      </c>
      <c r="U23" s="8" t="n">
        <v>395404.39</v>
      </c>
      <c r="V23" s="8" t="n">
        <v>774765.66</v>
      </c>
      <c r="W23" s="8">
        <f>V23-U23</f>
        <v/>
      </c>
      <c r="X23" s="9">
        <f>IF(U23=0,"",V23/U23)</f>
        <v/>
      </c>
      <c r="Y23" s="8">
        <f>H23+L23+Q23+U23</f>
        <v/>
      </c>
      <c r="Z23" s="8">
        <f>I23+N23+R23+V23</f>
        <v/>
      </c>
      <c r="AA23" s="8">
        <f>Z23-Y23</f>
        <v/>
      </c>
      <c r="AB23" s="9">
        <f>IF(Y23=0,"",Z23/Y23)</f>
        <v/>
      </c>
    </row>
    <row r="24">
      <c r="A24" s="7" t="inlineStr">
        <is>
          <t>الرسوم والتراخيص</t>
        </is>
      </c>
      <c r="B24" s="7" t="inlineStr">
        <is>
          <t>1421910</t>
        </is>
      </c>
      <c r="C24" s="7" t="inlineStr">
        <is>
          <t>اصدار تراخيص اشغال الارصفة العامة و الطرق</t>
        </is>
      </c>
      <c r="D24" s="8" t="n">
        <v>3580052.43</v>
      </c>
      <c r="E24" s="8" t="n">
        <v>3581598.32</v>
      </c>
      <c r="F24" s="8">
        <f>E24-D24</f>
        <v/>
      </c>
      <c r="G24" s="9">
        <f>IF(D24=0,"",E24/D24)</f>
        <v/>
      </c>
      <c r="H24" s="8" t="n">
        <v>505662.12</v>
      </c>
      <c r="I24" s="8" t="n">
        <v>362277.9</v>
      </c>
      <c r="J24" s="8">
        <f>I24-H24</f>
        <v/>
      </c>
      <c r="K24" s="9">
        <f>IF(H24=0,"",I24/H24)</f>
        <v/>
      </c>
      <c r="L24" s="8" t="n">
        <v>399206.5</v>
      </c>
      <c r="M24" s="8" t="n">
        <v>134647.24</v>
      </c>
      <c r="N24" s="8" t="n">
        <v>411992.3</v>
      </c>
      <c r="O24" s="8">
        <f>N24-L24</f>
        <v/>
      </c>
      <c r="P24" s="9">
        <f>IF(L24=0,"",N24/L24)</f>
        <v/>
      </c>
      <c r="Q24" s="8" t="n">
        <v>241075.56</v>
      </c>
      <c r="R24" s="8" t="n">
        <v>635901.8199999999</v>
      </c>
      <c r="S24" s="8">
        <f>R24-Q24</f>
        <v/>
      </c>
      <c r="T24" s="9">
        <f>IF(Q24=0,"",R24/Q24)</f>
        <v/>
      </c>
      <c r="U24" s="8" t="n">
        <v>320808.69</v>
      </c>
      <c r="V24" s="8" t="n">
        <v>608065.48</v>
      </c>
      <c r="W24" s="8">
        <f>V24-U24</f>
        <v/>
      </c>
      <c r="X24" s="9">
        <f>IF(U24=0,"",V24/U24)</f>
        <v/>
      </c>
      <c r="Y24" s="8">
        <f>H24+L24+Q24+U24</f>
        <v/>
      </c>
      <c r="Z24" s="8">
        <f>I24+N24+R24+V24</f>
        <v/>
      </c>
      <c r="AA24" s="8">
        <f>Z24-Y24</f>
        <v/>
      </c>
      <c r="AB24" s="9">
        <f>IF(Y24=0,"",Z24/Y24)</f>
        <v/>
      </c>
    </row>
    <row r="25">
      <c r="A25" s="7" t="inlineStr">
        <is>
          <t>الرسوم والتراخيص</t>
        </is>
      </c>
      <c r="B25" s="7" t="inlineStr">
        <is>
          <t>11452105</t>
        </is>
      </c>
      <c r="C25" s="7" t="inlineStr">
        <is>
          <t>رسوم تراخيص حفر الشوارع</t>
        </is>
      </c>
      <c r="D25" s="8" t="n">
        <v>356658.1</v>
      </c>
      <c r="E25" s="8" t="n">
        <v>1350</v>
      </c>
      <c r="F25" s="8">
        <f>E25-D25</f>
        <v/>
      </c>
      <c r="G25" s="9">
        <f>IF(D25=0,"",E25/D25)</f>
        <v/>
      </c>
      <c r="H25" s="8" t="n">
        <v>31989.46</v>
      </c>
      <c r="I25" s="8" t="n">
        <v>0</v>
      </c>
      <c r="J25" s="8">
        <f>I25-H25</f>
        <v/>
      </c>
      <c r="K25" s="9">
        <f>IF(H25=0,"",I25/H25)</f>
        <v/>
      </c>
      <c r="L25" s="8" t="n">
        <v>32296.3</v>
      </c>
      <c r="M25" s="8" t="n">
        <v>0</v>
      </c>
      <c r="N25" s="8" t="n">
        <v>2438320.04</v>
      </c>
      <c r="O25" s="8">
        <f>N25-L25</f>
        <v/>
      </c>
      <c r="P25" s="9">
        <f>IF(L25=0,"",N25/L25)</f>
        <v/>
      </c>
      <c r="Q25" s="8" t="n">
        <v>27957.08</v>
      </c>
      <c r="R25" s="8" t="n">
        <v>1442670.34</v>
      </c>
      <c r="S25" s="8">
        <f>R25-Q25</f>
        <v/>
      </c>
      <c r="T25" s="9">
        <f>IF(Q25=0,"",R25/Q25)</f>
        <v/>
      </c>
      <c r="U25" s="8" t="n">
        <v>25146.7</v>
      </c>
      <c r="V25" s="8" t="n">
        <v>942302.9399999999</v>
      </c>
      <c r="W25" s="8">
        <f>V25-U25</f>
        <v/>
      </c>
      <c r="X25" s="9">
        <f>IF(U25=0,"",V25/U25)</f>
        <v/>
      </c>
      <c r="Y25" s="8">
        <f>H25+L25+Q25+U25</f>
        <v/>
      </c>
      <c r="Z25" s="8">
        <f>I25+N25+R25+V25</f>
        <v/>
      </c>
      <c r="AA25" s="8">
        <f>Z25-Y25</f>
        <v/>
      </c>
      <c r="AB25" s="9">
        <f>IF(Y25=0,"",Z25/Y25)</f>
        <v/>
      </c>
    </row>
    <row r="26">
      <c r="A26" s="7" t="inlineStr">
        <is>
          <t>الرسوم والتراخيص</t>
        </is>
      </c>
      <c r="B26" s="7" t="inlineStr">
        <is>
          <t>11452107</t>
        </is>
      </c>
      <c r="C26" s="7" t="inlineStr">
        <is>
          <t>اصدار التراخيص بتأسيس أو تشغيل الصراف الآلي</t>
        </is>
      </c>
      <c r="D26" s="8" t="n">
        <v>1868556.75</v>
      </c>
      <c r="E26" s="8" t="n">
        <v>2750380.73</v>
      </c>
      <c r="F26" s="8">
        <f>E26-D26</f>
        <v/>
      </c>
      <c r="G26" s="9">
        <f>IF(D26=0,"",E26/D26)</f>
        <v/>
      </c>
      <c r="H26" s="8" t="n">
        <v>219460.02</v>
      </c>
      <c r="I26" s="8" t="n">
        <v>32000</v>
      </c>
      <c r="J26" s="8">
        <f>I26-H26</f>
        <v/>
      </c>
      <c r="K26" s="9">
        <f>IF(H26=0,"",I26/H26)</f>
        <v/>
      </c>
      <c r="L26" s="8" t="n">
        <v>202820.15</v>
      </c>
      <c r="M26" s="8" t="n">
        <v>57100</v>
      </c>
      <c r="N26" s="8" t="n">
        <v>57100</v>
      </c>
      <c r="O26" s="8">
        <f>N26-L26</f>
        <v/>
      </c>
      <c r="P26" s="9">
        <f>IF(L26=0,"",N26/L26)</f>
        <v/>
      </c>
      <c r="Q26" s="8" t="n">
        <v>222880.38</v>
      </c>
      <c r="R26" s="8" t="n">
        <v>15107.99</v>
      </c>
      <c r="S26" s="8">
        <f>R26-Q26</f>
        <v/>
      </c>
      <c r="T26" s="9">
        <f>IF(Q26=0,"",R26/Q26)</f>
        <v/>
      </c>
      <c r="U26" s="8" t="n">
        <v>327327.8</v>
      </c>
      <c r="V26" s="8" t="n">
        <v>32025</v>
      </c>
      <c r="W26" s="8">
        <f>V26-U26</f>
        <v/>
      </c>
      <c r="X26" s="9">
        <f>IF(U26=0,"",V26/U26)</f>
        <v/>
      </c>
      <c r="Y26" s="8">
        <f>H26+L26+Q26+U26</f>
        <v/>
      </c>
      <c r="Z26" s="8">
        <f>I26+N26+R26+V26</f>
        <v/>
      </c>
      <c r="AA26" s="8">
        <f>Z26-Y26</f>
        <v/>
      </c>
      <c r="AB26" s="9">
        <f>IF(Y26=0,"",Z26/Y26)</f>
        <v/>
      </c>
    </row>
    <row r="27">
      <c r="A27" s="7" t="inlineStr">
        <is>
          <t>الرسوم والتراخيص</t>
        </is>
      </c>
      <c r="B27" s="7" t="inlineStr">
        <is>
          <t>11452106</t>
        </is>
      </c>
      <c r="C27" s="7" t="inlineStr">
        <is>
          <t>اصدار التراخيص بتأسيس أو تشغيل ابراج الاتصالات</t>
        </is>
      </c>
      <c r="D27" s="8" t="n">
        <v>5585920.85</v>
      </c>
      <c r="E27" s="8" t="n">
        <v>1363801.03</v>
      </c>
      <c r="F27" s="8">
        <f>E27-D27</f>
        <v/>
      </c>
      <c r="G27" s="9">
        <f>IF(D27=0,"",E27/D27)</f>
        <v/>
      </c>
      <c r="H27" s="8" t="n">
        <v>876071.65</v>
      </c>
      <c r="I27" s="8" t="n">
        <v>13800</v>
      </c>
      <c r="J27" s="8">
        <f>I27-H27</f>
        <v/>
      </c>
      <c r="K27" s="9">
        <f>IF(H27=0,"",I27/H27)</f>
        <v/>
      </c>
      <c r="L27" s="8" t="n">
        <v>759323.62</v>
      </c>
      <c r="M27" s="8" t="n">
        <v>56000</v>
      </c>
      <c r="N27" s="8" t="n">
        <v>84000</v>
      </c>
      <c r="O27" s="8">
        <f>N27-L27</f>
        <v/>
      </c>
      <c r="P27" s="9">
        <f>IF(L27=0,"",N27/L27)</f>
        <v/>
      </c>
      <c r="Q27" s="8" t="n">
        <v>685167.54</v>
      </c>
      <c r="R27" s="8" t="n">
        <v>121956.6</v>
      </c>
      <c r="S27" s="8">
        <f>R27-Q27</f>
        <v/>
      </c>
      <c r="T27" s="9">
        <f>IF(Q27=0,"",R27/Q27)</f>
        <v/>
      </c>
      <c r="U27" s="8" t="n">
        <v>572770.48</v>
      </c>
      <c r="V27" s="8" t="n">
        <v>122543.4</v>
      </c>
      <c r="W27" s="8">
        <f>V27-U27</f>
        <v/>
      </c>
      <c r="X27" s="9">
        <f>IF(U27=0,"",V27/U27)</f>
        <v/>
      </c>
      <c r="Y27" s="8">
        <f>H27+L27+Q27+U27</f>
        <v/>
      </c>
      <c r="Z27" s="8">
        <f>I27+N27+R27+V27</f>
        <v/>
      </c>
      <c r="AA27" s="8">
        <f>Z27-Y27</f>
        <v/>
      </c>
      <c r="AB27" s="9">
        <f>IF(Y27=0,"",Z27/Y27)</f>
        <v/>
      </c>
    </row>
    <row r="28">
      <c r="A28" s="7" t="inlineStr">
        <is>
          <t>الرسوم والتراخيص</t>
        </is>
      </c>
      <c r="B28" s="7" t="inlineStr">
        <is>
          <t>11452110</t>
        </is>
      </c>
      <c r="C28" s="7" t="inlineStr">
        <is>
          <t>إصدار تراخيص إستخدام أملاك خاصة لإقامة فعاليات</t>
        </is>
      </c>
      <c r="D28" s="8" t="n">
        <v>1035362.18</v>
      </c>
      <c r="E28" s="8" t="n">
        <v>581755.84</v>
      </c>
      <c r="F28" s="8">
        <f>E28-D28</f>
        <v/>
      </c>
      <c r="G28" s="9">
        <f>IF(D28=0,"",E28/D28)</f>
        <v/>
      </c>
      <c r="H28" s="8" t="n">
        <v>151946.61</v>
      </c>
      <c r="I28" s="8" t="n">
        <v>20794.06</v>
      </c>
      <c r="J28" s="8">
        <f>I28-H28</f>
        <v/>
      </c>
      <c r="K28" s="9">
        <f>IF(H28=0,"",I28/H28)</f>
        <v/>
      </c>
      <c r="L28" s="8" t="n">
        <v>99448.75999999999</v>
      </c>
      <c r="M28" s="8" t="n">
        <v>34158.14</v>
      </c>
      <c r="N28" s="8" t="n">
        <v>56213.19</v>
      </c>
      <c r="O28" s="8">
        <f>N28-L28</f>
        <v/>
      </c>
      <c r="P28" s="9">
        <f>IF(L28=0,"",N28/L28)</f>
        <v/>
      </c>
      <c r="Q28" s="8" t="n">
        <v>88463.77</v>
      </c>
      <c r="R28" s="8" t="n">
        <v>115379.71</v>
      </c>
      <c r="S28" s="8">
        <f>R28-Q28</f>
        <v/>
      </c>
      <c r="T28" s="9">
        <f>IF(Q28=0,"",R28/Q28)</f>
        <v/>
      </c>
      <c r="U28" s="8" t="n">
        <v>146186.3</v>
      </c>
      <c r="V28" s="8" t="n">
        <v>82801.81</v>
      </c>
      <c r="W28" s="8">
        <f>V28-U28</f>
        <v/>
      </c>
      <c r="X28" s="9">
        <f>IF(U28=0,"",V28/U28)</f>
        <v/>
      </c>
      <c r="Y28" s="8">
        <f>H28+L28+Q28+U28</f>
        <v/>
      </c>
      <c r="Z28" s="8">
        <f>I28+N28+R28+V28</f>
        <v/>
      </c>
      <c r="AA28" s="8">
        <f>Z28-Y28</f>
        <v/>
      </c>
      <c r="AB28" s="9">
        <f>IF(Y28=0,"",Z28/Y28)</f>
        <v/>
      </c>
    </row>
    <row r="29">
      <c r="A29" s="7" t="inlineStr">
        <is>
          <t>الرسوم والتراخيص</t>
        </is>
      </c>
      <c r="B29" s="7" t="inlineStr">
        <is>
          <t>1422104</t>
        </is>
      </c>
      <c r="C29" s="7" t="inlineStr">
        <is>
          <t>رسوم وأجور ناتجة من النشاط غير مصنفة أعلاه</t>
        </is>
      </c>
      <c r="D29" s="8" t="n">
        <v>0</v>
      </c>
      <c r="E29" s="8" t="n">
        <v>391830</v>
      </c>
      <c r="F29" s="8">
        <f>E29-D29</f>
        <v/>
      </c>
      <c r="G29" s="9">
        <f>IF(D29=0,"",E29/D29)</f>
        <v/>
      </c>
      <c r="H29" s="8" t="n">
        <v>0</v>
      </c>
      <c r="I29" s="8" t="n">
        <v>0</v>
      </c>
      <c r="J29" s="8">
        <f>I29-H29</f>
        <v/>
      </c>
      <c r="K29" s="9">
        <f>IF(H29=0,"",I29/H29)</f>
        <v/>
      </c>
      <c r="L29" s="8" t="n">
        <v>0</v>
      </c>
      <c r="M29" s="8" t="n">
        <v>0</v>
      </c>
      <c r="N29" s="8" t="n">
        <v>0</v>
      </c>
      <c r="O29" s="8">
        <f>N29-L29</f>
        <v/>
      </c>
      <c r="P29" s="9">
        <f>IF(L29=0,"",N29/L29)</f>
        <v/>
      </c>
      <c r="Q29" s="8" t="n">
        <v>0</v>
      </c>
      <c r="R29" s="8" t="n">
        <v>0</v>
      </c>
      <c r="S29" s="8">
        <f>R29-Q29</f>
        <v/>
      </c>
      <c r="T29" s="9">
        <f>IF(Q29=0,"",R29/Q29)</f>
        <v/>
      </c>
      <c r="U29" s="8" t="n">
        <v>0</v>
      </c>
      <c r="V29" s="8" t="n">
        <v>0</v>
      </c>
      <c r="W29" s="8">
        <f>V29-U29</f>
        <v/>
      </c>
      <c r="X29" s="9">
        <f>IF(U29=0,"",V29/U29)</f>
        <v/>
      </c>
      <c r="Y29" s="8">
        <f>H29+L29+Q29+U29</f>
        <v/>
      </c>
      <c r="Z29" s="8">
        <f>I29+N29+R29+V29</f>
        <v/>
      </c>
      <c r="AA29" s="8">
        <f>Z29-Y29</f>
        <v/>
      </c>
      <c r="AB29" s="9">
        <f>IF(Y29=0,"",Z29/Y29)</f>
        <v/>
      </c>
    </row>
    <row r="30">
      <c r="A30" s="7" t="inlineStr">
        <is>
          <t>الرسوم والتراخيص</t>
        </is>
      </c>
      <c r="B30" s="7" t="inlineStr">
        <is>
          <t>11452109</t>
        </is>
      </c>
      <c r="C30" s="7" t="inlineStr">
        <is>
          <t>اعتماد مخططات التطوير العقاري</t>
        </is>
      </c>
      <c r="D30" s="8" t="n">
        <v>406632.44</v>
      </c>
      <c r="E30" s="8" t="n">
        <v>50</v>
      </c>
      <c r="F30" s="8">
        <f>E30-D30</f>
        <v/>
      </c>
      <c r="G30" s="9">
        <f>IF(D30=0,"",E30/D30)</f>
        <v/>
      </c>
      <c r="H30" s="8" t="n">
        <v>106451.02</v>
      </c>
      <c r="I30" s="8" t="n">
        <v>0</v>
      </c>
      <c r="J30" s="8">
        <f>I30-H30</f>
        <v/>
      </c>
      <c r="K30" s="9">
        <f>IF(H30=0,"",I30/H30)</f>
        <v/>
      </c>
      <c r="L30" s="8" t="n">
        <v>212196.25</v>
      </c>
      <c r="M30" s="8" t="n">
        <v>0</v>
      </c>
      <c r="N30" s="8" t="n">
        <v>82721.94</v>
      </c>
      <c r="O30" s="8">
        <f>N30-L30</f>
        <v/>
      </c>
      <c r="P30" s="9">
        <f>IF(L30=0,"",N30/L30)</f>
        <v/>
      </c>
      <c r="Q30" s="8" t="n">
        <v>49663.18</v>
      </c>
      <c r="R30" s="8" t="n">
        <v>1312.57</v>
      </c>
      <c r="S30" s="8">
        <f>R30-Q30</f>
        <v/>
      </c>
      <c r="T30" s="9">
        <f>IF(Q30=0,"",R30/Q30)</f>
        <v/>
      </c>
      <c r="U30" s="8" t="n">
        <v>185890.8</v>
      </c>
      <c r="V30" s="8" t="n">
        <v>3262.43</v>
      </c>
      <c r="W30" s="8">
        <f>V30-U30</f>
        <v/>
      </c>
      <c r="X30" s="9">
        <f>IF(U30=0,"",V30/U30)</f>
        <v/>
      </c>
      <c r="Y30" s="8">
        <f>H30+L30+Q30+U30</f>
        <v/>
      </c>
      <c r="Z30" s="8">
        <f>I30+N30+R30+V30</f>
        <v/>
      </c>
      <c r="AA30" s="8">
        <f>Z30-Y30</f>
        <v/>
      </c>
      <c r="AB30" s="9">
        <f>IF(Y30=0,"",Z30/Y30)</f>
        <v/>
      </c>
    </row>
    <row r="31">
      <c r="A31" s="7" t="inlineStr">
        <is>
          <t>الرسوم والتراخيص</t>
        </is>
      </c>
      <c r="B31" s="7" t="inlineStr">
        <is>
          <t>1421907</t>
        </is>
      </c>
      <c r="C31" s="7" t="inlineStr">
        <is>
          <t>إيرادات المخططات</t>
        </is>
      </c>
      <c r="D31" s="8" t="n">
        <v>499531.96</v>
      </c>
      <c r="E31" s="8" t="n">
        <v>5950</v>
      </c>
      <c r="F31" s="8">
        <f>E31-D31</f>
        <v/>
      </c>
      <c r="G31" s="9">
        <f>IF(D31=0,"",E31/D31)</f>
        <v/>
      </c>
      <c r="H31" s="8" t="n">
        <v>52413.24</v>
      </c>
      <c r="I31" s="8" t="n">
        <v>0</v>
      </c>
      <c r="J31" s="8">
        <f>I31-H31</f>
        <v/>
      </c>
      <c r="K31" s="9">
        <f>IF(H31=0,"",I31/H31)</f>
        <v/>
      </c>
      <c r="L31" s="8" t="n">
        <v>55366.58</v>
      </c>
      <c r="M31" s="8" t="n">
        <v>0</v>
      </c>
      <c r="N31" s="8" t="n">
        <v>0</v>
      </c>
      <c r="O31" s="8">
        <f>N31-L31</f>
        <v/>
      </c>
      <c r="P31" s="9">
        <f>IF(L31=0,"",N31/L31)</f>
        <v/>
      </c>
      <c r="Q31" s="8" t="n">
        <v>32730.78</v>
      </c>
      <c r="R31" s="8" t="n">
        <v>0</v>
      </c>
      <c r="S31" s="8">
        <f>R31-Q31</f>
        <v/>
      </c>
      <c r="T31" s="9">
        <f>IF(Q31=0,"",R31/Q31)</f>
        <v/>
      </c>
      <c r="U31" s="8" t="n">
        <v>26407.51</v>
      </c>
      <c r="V31" s="8" t="n">
        <v>0</v>
      </c>
      <c r="W31" s="8">
        <f>V31-U31</f>
        <v/>
      </c>
      <c r="X31" s="9">
        <f>IF(U31=0,"",V31/U31)</f>
        <v/>
      </c>
      <c r="Y31" s="8">
        <f>H31+L31+Q31+U31</f>
        <v/>
      </c>
      <c r="Z31" s="8">
        <f>I31+N31+R31+V31</f>
        <v/>
      </c>
      <c r="AA31" s="8">
        <f>Z31-Y31</f>
        <v/>
      </c>
      <c r="AB31" s="9">
        <f>IF(Y31=0,"",Z31/Y31)</f>
        <v/>
      </c>
    </row>
    <row r="32">
      <c r="A32" s="7" t="inlineStr">
        <is>
          <t>الرسوم والتراخيص</t>
        </is>
      </c>
      <c r="B32" s="7" t="inlineStr">
        <is>
          <t>11452513</t>
        </is>
      </c>
      <c r="C32" s="7" t="inlineStr">
        <is>
          <t>لوحات إرشـادية</t>
        </is>
      </c>
      <c r="D32" s="8" t="n">
        <v>47427</v>
      </c>
      <c r="E32" s="8" t="n">
        <v>600</v>
      </c>
      <c r="F32" s="8">
        <f>E32-D32</f>
        <v/>
      </c>
      <c r="G32" s="9">
        <f>IF(D32=0,"",E32/D32)</f>
        <v/>
      </c>
      <c r="H32" s="8" t="n">
        <v>5106</v>
      </c>
      <c r="I32" s="8" t="n">
        <v>0</v>
      </c>
      <c r="J32" s="8">
        <f>I32-H32</f>
        <v/>
      </c>
      <c r="K32" s="9">
        <f>IF(H32=0,"",I32/H32)</f>
        <v/>
      </c>
      <c r="L32" s="8" t="n">
        <v>5715</v>
      </c>
      <c r="M32" s="8" t="n">
        <v>0</v>
      </c>
      <c r="N32" s="8" t="n">
        <v>0</v>
      </c>
      <c r="O32" s="8">
        <f>N32-L32</f>
        <v/>
      </c>
      <c r="P32" s="9">
        <f>IF(L32=0,"",N32/L32)</f>
        <v/>
      </c>
      <c r="Q32" s="8" t="n">
        <v>5723</v>
      </c>
      <c r="R32" s="8" t="n">
        <v>974.9299999999999</v>
      </c>
      <c r="S32" s="8">
        <f>R32-Q32</f>
        <v/>
      </c>
      <c r="T32" s="9">
        <f>IF(Q32=0,"",R32/Q32)</f>
        <v/>
      </c>
      <c r="U32" s="8" t="n">
        <v>7794</v>
      </c>
      <c r="V32" s="8" t="n">
        <v>600.08</v>
      </c>
      <c r="W32" s="8">
        <f>V32-U32</f>
        <v/>
      </c>
      <c r="X32" s="9">
        <f>IF(U32=0,"",V32/U32)</f>
        <v/>
      </c>
      <c r="Y32" s="8">
        <f>H32+L32+Q32+U32</f>
        <v/>
      </c>
      <c r="Z32" s="8">
        <f>I32+N32+R32+V32</f>
        <v/>
      </c>
      <c r="AA32" s="8">
        <f>Z32-Y32</f>
        <v/>
      </c>
      <c r="AB32" s="9">
        <f>IF(Y32=0,"",Z32/Y32)</f>
        <v/>
      </c>
    </row>
    <row r="33">
      <c r="A33" s="4" t="inlineStr">
        <is>
          <t>جزاءات وغرامات</t>
        </is>
      </c>
      <c r="B33" s="4" t="n"/>
      <c r="C33" s="4" t="inlineStr">
        <is>
          <t>إجمالي جزاءات وغرامات</t>
        </is>
      </c>
      <c r="D33" s="5">
        <f>SUM(D34:D37)</f>
        <v/>
      </c>
      <c r="E33" s="5">
        <f>SUM(E34:E37)</f>
        <v/>
      </c>
      <c r="F33" s="5">
        <f>E33-D33</f>
        <v/>
      </c>
      <c r="G33" s="6">
        <f>IF(D33=0,"",E33/D33)</f>
        <v/>
      </c>
      <c r="H33" s="5">
        <f>SUM(H34:H37)</f>
        <v/>
      </c>
      <c r="I33" s="5">
        <f>SUM(I34:I37)</f>
        <v/>
      </c>
      <c r="J33" s="5">
        <f>I33-H33</f>
        <v/>
      </c>
      <c r="K33" s="6">
        <f>IF(H33=0,"",I33/H33)</f>
        <v/>
      </c>
      <c r="L33" s="5">
        <f>SUM(L34:L37)</f>
        <v/>
      </c>
      <c r="M33" s="5">
        <f>SUM(M34:M37)</f>
        <v/>
      </c>
      <c r="N33" s="5">
        <f>SUM(N34:N37)</f>
        <v/>
      </c>
      <c r="O33" s="5">
        <f>N33-L33</f>
        <v/>
      </c>
      <c r="P33" s="6">
        <f>IF(L33=0,"",N33/L33)</f>
        <v/>
      </c>
      <c r="Q33" s="5">
        <f>SUM(Q34:Q37)</f>
        <v/>
      </c>
      <c r="R33" s="5">
        <f>SUM(R34:R37)</f>
        <v/>
      </c>
      <c r="S33" s="5">
        <f>R33-Q33</f>
        <v/>
      </c>
      <c r="T33" s="6">
        <f>IF(Q33=0,"",R33/Q33)</f>
        <v/>
      </c>
      <c r="U33" s="5">
        <f>SUM(U34:U37)</f>
        <v/>
      </c>
      <c r="V33" s="5">
        <f>SUM(V34:V37)</f>
        <v/>
      </c>
      <c r="W33" s="5">
        <f>V33-U33</f>
        <v/>
      </c>
      <c r="X33" s="6">
        <f>IF(U33=0,"",V33/U33)</f>
        <v/>
      </c>
      <c r="Y33" s="5">
        <f>H33+L33+Q33+U33</f>
        <v/>
      </c>
      <c r="Z33" s="5">
        <f>I33+N33+R33+V33</f>
        <v/>
      </c>
      <c r="AA33" s="5">
        <f>Z33-Y33</f>
        <v/>
      </c>
      <c r="AB33" s="6">
        <f>IF(Y33=0,"",Z33/Y33)</f>
        <v/>
      </c>
    </row>
    <row r="34">
      <c r="A34" s="7" t="inlineStr">
        <is>
          <t>جزاءات وغرامات</t>
        </is>
      </c>
      <c r="B34" s="7" t="inlineStr">
        <is>
          <t>1438001</t>
        </is>
      </c>
      <c r="C34" s="7" t="inlineStr">
        <is>
          <t>جزاءات و غرامات مفروضة بموجب أنظمة الجهة</t>
        </is>
      </c>
      <c r="D34" s="8" t="n">
        <v>342711150.14</v>
      </c>
      <c r="E34" s="8" t="n">
        <v>356392222.05</v>
      </c>
      <c r="F34" s="8">
        <f>E34-D34</f>
        <v/>
      </c>
      <c r="G34" s="9">
        <f>IF(D34=0,"",E34/D34)</f>
        <v/>
      </c>
      <c r="H34" s="8" t="n">
        <v>41561367.54</v>
      </c>
      <c r="I34" s="8" t="n">
        <v>37172616</v>
      </c>
      <c r="J34" s="8">
        <f>I34-H34</f>
        <v/>
      </c>
      <c r="K34" s="9">
        <f>IF(H34=0,"",I34/H34)</f>
        <v/>
      </c>
      <c r="L34" s="8" t="n">
        <v>42809498.94</v>
      </c>
      <c r="M34" s="8" t="n">
        <v>33304429</v>
      </c>
      <c r="N34" s="8" t="n">
        <v>48718919.41</v>
      </c>
      <c r="O34" s="8">
        <f>N34-L34</f>
        <v/>
      </c>
      <c r="P34" s="9">
        <f>IF(L34=0,"",N34/L34)</f>
        <v/>
      </c>
      <c r="Q34" s="8" t="n">
        <v>28537922.26</v>
      </c>
      <c r="R34" s="8" t="n">
        <v>41394654.55</v>
      </c>
      <c r="S34" s="8">
        <f>R34-Q34</f>
        <v/>
      </c>
      <c r="T34" s="9">
        <f>IF(Q34=0,"",R34/Q34)</f>
        <v/>
      </c>
      <c r="U34" s="8" t="n">
        <v>27405164.21</v>
      </c>
      <c r="V34" s="8" t="n">
        <v>61541882.75</v>
      </c>
      <c r="W34" s="8">
        <f>V34-U34</f>
        <v/>
      </c>
      <c r="X34" s="9">
        <f>IF(U34=0,"",V34/U34)</f>
        <v/>
      </c>
      <c r="Y34" s="8">
        <f>H34+L34+Q34+U34</f>
        <v/>
      </c>
      <c r="Z34" s="8">
        <f>I34+N34+R34+V34</f>
        <v/>
      </c>
      <c r="AA34" s="8">
        <f>Z34-Y34</f>
        <v/>
      </c>
      <c r="AB34" s="9">
        <f>IF(Y34=0,"",Z34/Y34)</f>
        <v/>
      </c>
    </row>
    <row r="35">
      <c r="A35" s="7" t="inlineStr">
        <is>
          <t>جزاءات وغرامات</t>
        </is>
      </c>
      <c r="B35" s="7" t="inlineStr">
        <is>
          <t>1439</t>
        </is>
      </c>
      <c r="C35" s="7" t="inlineStr">
        <is>
          <t>ايرادات  مبيعات  ناتجه من النشاط غير مصنفة</t>
        </is>
      </c>
      <c r="D35" s="8" t="n">
        <v>23519477.4</v>
      </c>
      <c r="E35" s="8" t="n">
        <v>179433194.45</v>
      </c>
      <c r="F35" s="8">
        <f>E35-D35</f>
        <v/>
      </c>
      <c r="G35" s="9">
        <f>IF(D35=0,"",E35/D35)</f>
        <v/>
      </c>
      <c r="H35" s="8" t="n">
        <v>1719083.1</v>
      </c>
      <c r="I35" s="8" t="n">
        <v>0</v>
      </c>
      <c r="J35" s="8">
        <f>I35-H35</f>
        <v/>
      </c>
      <c r="K35" s="9">
        <f>IF(H35=0,"",I35/H35)</f>
        <v/>
      </c>
      <c r="L35" s="8" t="n">
        <v>153424.25</v>
      </c>
      <c r="M35" s="8" t="n">
        <v>0</v>
      </c>
      <c r="N35" s="8" t="n">
        <v>0</v>
      </c>
      <c r="O35" s="8">
        <f>N35-L35</f>
        <v/>
      </c>
      <c r="P35" s="9">
        <f>IF(L35=0,"",N35/L35)</f>
        <v/>
      </c>
      <c r="Q35" s="8" t="n">
        <v>3380581.8</v>
      </c>
      <c r="R35" s="8" t="n">
        <v>98690.73</v>
      </c>
      <c r="S35" s="8">
        <f>R35-Q35</f>
        <v/>
      </c>
      <c r="T35" s="9">
        <f>IF(Q35=0,"",R35/Q35)</f>
        <v/>
      </c>
      <c r="U35" s="8" t="n">
        <v>2982608.6</v>
      </c>
      <c r="V35" s="8" t="n">
        <v>9570.27</v>
      </c>
      <c r="W35" s="8">
        <f>V35-U35</f>
        <v/>
      </c>
      <c r="X35" s="9">
        <f>IF(U35=0,"",V35/U35)</f>
        <v/>
      </c>
      <c r="Y35" s="8">
        <f>H35+L35+Q35+U35</f>
        <v/>
      </c>
      <c r="Z35" s="8">
        <f>I35+N35+R35+V35</f>
        <v/>
      </c>
      <c r="AA35" s="8">
        <f>Z35-Y35</f>
        <v/>
      </c>
      <c r="AB35" s="9">
        <f>IF(Y35=0,"",Z35/Y35)</f>
        <v/>
      </c>
    </row>
    <row r="36">
      <c r="A36" s="7" t="inlineStr">
        <is>
          <t>جزاءات وغرامات</t>
        </is>
      </c>
      <c r="B36" s="7" t="inlineStr">
        <is>
          <t>1431</t>
        </is>
      </c>
      <c r="C36" s="7" t="inlineStr">
        <is>
          <t>الجزاءات والغرامات</t>
        </is>
      </c>
      <c r="D36" s="8" t="n">
        <v>60502457</v>
      </c>
      <c r="E36" s="8" t="n">
        <v>103169485.22</v>
      </c>
      <c r="F36" s="8">
        <f>E36-D36</f>
        <v/>
      </c>
      <c r="G36" s="9">
        <f>IF(D36=0,"",E36/D36)</f>
        <v/>
      </c>
      <c r="H36" s="8" t="n">
        <v>7500273</v>
      </c>
      <c r="I36" s="8" t="n">
        <v>13269393.49</v>
      </c>
      <c r="J36" s="8">
        <f>I36-H36</f>
        <v/>
      </c>
      <c r="K36" s="9">
        <f>IF(H36=0,"",I36/H36)</f>
        <v/>
      </c>
      <c r="L36" s="8" t="n">
        <v>7500273</v>
      </c>
      <c r="M36" s="8" t="n">
        <v>0</v>
      </c>
      <c r="N36" s="8" t="n">
        <v>0</v>
      </c>
      <c r="O36" s="8">
        <f>N36-L36</f>
        <v/>
      </c>
      <c r="P36" s="9">
        <f>IF(L36=0,"",N36/L36)</f>
        <v/>
      </c>
      <c r="Q36" s="8" t="n">
        <v>7500273</v>
      </c>
      <c r="R36" s="8" t="n">
        <v>0</v>
      </c>
      <c r="S36" s="8">
        <f>R36-Q36</f>
        <v/>
      </c>
      <c r="T36" s="9">
        <f>IF(Q36=0,"",R36/Q36)</f>
        <v/>
      </c>
      <c r="U36" s="8" t="n">
        <v>14500281</v>
      </c>
      <c r="V36" s="8" t="n">
        <v>0</v>
      </c>
      <c r="W36" s="8">
        <f>V36-U36</f>
        <v/>
      </c>
      <c r="X36" s="9">
        <f>IF(U36=0,"",V36/U36)</f>
        <v/>
      </c>
      <c r="Y36" s="8">
        <f>H36+L36+Q36+U36</f>
        <v/>
      </c>
      <c r="Z36" s="8">
        <f>I36+N36+R36+V36</f>
        <v/>
      </c>
      <c r="AA36" s="8">
        <f>Z36-Y36</f>
        <v/>
      </c>
      <c r="AB36" s="9">
        <f>IF(Y36=0,"",Z36/Y36)</f>
        <v/>
      </c>
    </row>
    <row r="37">
      <c r="A37" s="7" t="inlineStr">
        <is>
          <t>جزاءات وغرامات</t>
        </is>
      </c>
      <c r="B37" s="7" t="inlineStr">
        <is>
          <t>1438</t>
        </is>
      </c>
      <c r="C37" s="7" t="inlineStr">
        <is>
          <t>جزاءات وغرامات مفروضة بموجب أنظمة الجهة</t>
        </is>
      </c>
      <c r="D37" s="8" t="n">
        <v>0</v>
      </c>
      <c r="E37" s="8" t="n">
        <v>0</v>
      </c>
      <c r="F37" s="8">
        <f>E37-D37</f>
        <v/>
      </c>
      <c r="G37" s="9">
        <f>IF(D37=0,"",E37/D37)</f>
        <v/>
      </c>
      <c r="H37" s="8" t="n">
        <v>0</v>
      </c>
      <c r="I37" s="8" t="n">
        <v>0</v>
      </c>
      <c r="J37" s="8">
        <f>I37-H37</f>
        <v/>
      </c>
      <c r="K37" s="9">
        <f>IF(H37=0,"",I37/H37)</f>
        <v/>
      </c>
      <c r="L37" s="8" t="n">
        <v>0</v>
      </c>
      <c r="M37" s="8" t="n">
        <v>0</v>
      </c>
      <c r="N37" s="8" t="n">
        <v>18000</v>
      </c>
      <c r="O37" s="8">
        <f>N37-L37</f>
        <v/>
      </c>
      <c r="P37" s="9">
        <f>IF(L37=0,"",N37/L37)</f>
        <v/>
      </c>
      <c r="Q37" s="8" t="n">
        <v>0</v>
      </c>
      <c r="R37" s="8" t="n">
        <v>17130.89</v>
      </c>
      <c r="S37" s="8">
        <f>R37-Q37</f>
        <v/>
      </c>
      <c r="T37" s="9">
        <f>IF(Q37=0,"",R37/Q37)</f>
        <v/>
      </c>
      <c r="U37" s="8" t="n">
        <v>0</v>
      </c>
      <c r="V37" s="8" t="n">
        <v>21794.11</v>
      </c>
      <c r="W37" s="8">
        <f>V37-U37</f>
        <v/>
      </c>
      <c r="X37" s="9">
        <f>IF(U37=0,"",V37/U37)</f>
        <v/>
      </c>
      <c r="Y37" s="8">
        <f>H37+L37+Q37+U37</f>
        <v/>
      </c>
      <c r="Z37" s="8">
        <f>I37+N37+R37+V37</f>
        <v/>
      </c>
      <c r="AA37" s="8">
        <f>Z37-Y37</f>
        <v/>
      </c>
      <c r="AB37" s="9">
        <f>IF(Y37=0,"",Z37/Y37)</f>
        <v/>
      </c>
    </row>
    <row r="38">
      <c r="A38" s="4" t="inlineStr">
        <is>
          <t>التبغ والإيواء</t>
        </is>
      </c>
      <c r="B38" s="4" t="n"/>
      <c r="C38" s="4" t="inlineStr">
        <is>
          <t>إجمالي التبغ والإيواء</t>
        </is>
      </c>
      <c r="D38" s="5">
        <f>SUM(D39:D41)</f>
        <v/>
      </c>
      <c r="E38" s="5">
        <f>SUM(E39:E41)</f>
        <v/>
      </c>
      <c r="F38" s="5">
        <f>E38-D38</f>
        <v/>
      </c>
      <c r="G38" s="6">
        <f>IF(D38=0,"",E38/D38)</f>
        <v/>
      </c>
      <c r="H38" s="5">
        <f>SUM(H39:H41)</f>
        <v/>
      </c>
      <c r="I38" s="5">
        <f>SUM(I39:I41)</f>
        <v/>
      </c>
      <c r="J38" s="5">
        <f>I38-H38</f>
        <v/>
      </c>
      <c r="K38" s="6">
        <f>IF(H38=0,"",I38/H38)</f>
        <v/>
      </c>
      <c r="L38" s="5">
        <f>SUM(L39:L41)</f>
        <v/>
      </c>
      <c r="M38" s="5">
        <f>SUM(M39:M41)</f>
        <v/>
      </c>
      <c r="N38" s="5">
        <f>SUM(N39:N41)</f>
        <v/>
      </c>
      <c r="O38" s="5">
        <f>N38-L38</f>
        <v/>
      </c>
      <c r="P38" s="6">
        <f>IF(L38=0,"",N38/L38)</f>
        <v/>
      </c>
      <c r="Q38" s="5">
        <f>SUM(Q39:Q41)</f>
        <v/>
      </c>
      <c r="R38" s="5">
        <f>SUM(R39:R41)</f>
        <v/>
      </c>
      <c r="S38" s="5">
        <f>R38-Q38</f>
        <v/>
      </c>
      <c r="T38" s="6">
        <f>IF(Q38=0,"",R38/Q38)</f>
        <v/>
      </c>
      <c r="U38" s="5">
        <f>SUM(U39:U41)</f>
        <v/>
      </c>
      <c r="V38" s="5">
        <f>SUM(V39:V41)</f>
        <v/>
      </c>
      <c r="W38" s="5">
        <f>V38-U38</f>
        <v/>
      </c>
      <c r="X38" s="6">
        <f>IF(U38=0,"",V38/U38)</f>
        <v/>
      </c>
      <c r="Y38" s="5">
        <f>H38+L38+Q38+U38</f>
        <v/>
      </c>
      <c r="Z38" s="5">
        <f>I38+N38+R38+V38</f>
        <v/>
      </c>
      <c r="AA38" s="5">
        <f>Z38-Y38</f>
        <v/>
      </c>
      <c r="AB38" s="6">
        <f>IF(Y38=0,"",Z38/Y38)</f>
        <v/>
      </c>
    </row>
    <row r="39">
      <c r="A39" s="7" t="inlineStr">
        <is>
          <t>التبغ والإيواء</t>
        </is>
      </c>
      <c r="B39" s="7" t="inlineStr">
        <is>
          <t>11442</t>
        </is>
      </c>
      <c r="C39" s="7" t="inlineStr">
        <is>
          <t>اشغال مرافق الايواء</t>
        </is>
      </c>
      <c r="D39" s="8" t="n">
        <v>219455439.9</v>
      </c>
      <c r="E39" s="8" t="n">
        <v>138456211.41</v>
      </c>
      <c r="F39" s="8">
        <f>E39-D39</f>
        <v/>
      </c>
      <c r="G39" s="9">
        <f>IF(D39=0,"",E39/D39)</f>
        <v/>
      </c>
      <c r="H39" s="8" t="n">
        <v>21769136.17</v>
      </c>
      <c r="I39" s="8" t="n">
        <v>12161593.5</v>
      </c>
      <c r="J39" s="8">
        <f>I39-H39</f>
        <v/>
      </c>
      <c r="K39" s="9">
        <f>IF(H39=0,"",I39/H39)</f>
        <v/>
      </c>
      <c r="L39" s="8" t="n">
        <v>25698392.79</v>
      </c>
      <c r="M39" s="8" t="n">
        <v>13283777.98</v>
      </c>
      <c r="N39" s="8" t="n">
        <v>24243568.97</v>
      </c>
      <c r="O39" s="8">
        <f>N39-L39</f>
        <v/>
      </c>
      <c r="P39" s="9">
        <f>IF(L39=0,"",N39/L39)</f>
        <v/>
      </c>
      <c r="Q39" s="8" t="n">
        <v>19850210.09</v>
      </c>
      <c r="R39" s="8" t="n">
        <v>28572196.19</v>
      </c>
      <c r="S39" s="8">
        <f>R39-Q39</f>
        <v/>
      </c>
      <c r="T39" s="9">
        <f>IF(Q39=0,"",R39/Q39)</f>
        <v/>
      </c>
      <c r="U39" s="8" t="n">
        <v>23107944.17</v>
      </c>
      <c r="V39" s="8" t="n">
        <v>26020979.2</v>
      </c>
      <c r="W39" s="8">
        <f>V39-U39</f>
        <v/>
      </c>
      <c r="X39" s="9">
        <f>IF(U39=0,"",V39/U39)</f>
        <v/>
      </c>
      <c r="Y39" s="8">
        <f>H39+L39+Q39+U39</f>
        <v/>
      </c>
      <c r="Z39" s="8">
        <f>I39+N39+R39+V39</f>
        <v/>
      </c>
      <c r="AA39" s="8">
        <f>Z39-Y39</f>
        <v/>
      </c>
      <c r="AB39" s="9">
        <f>IF(Y39=0,"",Z39/Y39)</f>
        <v/>
      </c>
    </row>
    <row r="40">
      <c r="A40" s="7" t="inlineStr">
        <is>
          <t>التبغ والإيواء</t>
        </is>
      </c>
      <c r="B40" s="7" t="inlineStr">
        <is>
          <t>1421911</t>
        </is>
      </c>
      <c r="C40" s="7" t="inlineStr">
        <is>
          <t>رسم مبيعات محلات تقديم منتجات التبغ</t>
        </is>
      </c>
      <c r="D40" s="8" t="n">
        <v>73471717.89</v>
      </c>
      <c r="E40" s="8" t="n">
        <v>56784442.92</v>
      </c>
      <c r="F40" s="8">
        <f>E40-D40</f>
        <v/>
      </c>
      <c r="G40" s="9">
        <f>IF(D40=0,"",E40/D40)</f>
        <v/>
      </c>
      <c r="H40" s="8" t="n">
        <v>8193382.04</v>
      </c>
      <c r="I40" s="8" t="n">
        <v>5039927.64</v>
      </c>
      <c r="J40" s="8">
        <f>I40-H40</f>
        <v/>
      </c>
      <c r="K40" s="9">
        <f>IF(H40=0,"",I40/H40)</f>
        <v/>
      </c>
      <c r="L40" s="8" t="n">
        <v>6863252.07</v>
      </c>
      <c r="M40" s="8" t="n">
        <v>3739768.97</v>
      </c>
      <c r="N40" s="8" t="n">
        <v>7556764.42</v>
      </c>
      <c r="O40" s="8">
        <f>N40-L40</f>
        <v/>
      </c>
      <c r="P40" s="9">
        <f>IF(L40=0,"",N40/L40)</f>
        <v/>
      </c>
      <c r="Q40" s="8" t="n">
        <v>5768559.67</v>
      </c>
      <c r="R40" s="8" t="n">
        <v>7718698.21</v>
      </c>
      <c r="S40" s="8">
        <f>R40-Q40</f>
        <v/>
      </c>
      <c r="T40" s="9">
        <f>IF(Q40=0,"",R40/Q40)</f>
        <v/>
      </c>
      <c r="U40" s="8" t="n">
        <v>5209792.3</v>
      </c>
      <c r="V40" s="8" t="n">
        <v>7281003.7</v>
      </c>
      <c r="W40" s="8">
        <f>V40-U40</f>
        <v/>
      </c>
      <c r="X40" s="9">
        <f>IF(U40=0,"",V40/U40)</f>
        <v/>
      </c>
      <c r="Y40" s="8">
        <f>H40+L40+Q40+U40</f>
        <v/>
      </c>
      <c r="Z40" s="8">
        <f>I40+N40+R40+V40</f>
        <v/>
      </c>
      <c r="AA40" s="8">
        <f>Z40-Y40</f>
        <v/>
      </c>
      <c r="AB40" s="9">
        <f>IF(Y40=0,"",Z40/Y40)</f>
        <v/>
      </c>
    </row>
    <row r="41">
      <c r="A41" s="7" t="inlineStr">
        <is>
          <t>التبغ والإيواء</t>
        </is>
      </c>
      <c r="B41" s="7" t="inlineStr">
        <is>
          <t>1422121</t>
        </is>
      </c>
      <c r="C41" s="7" t="inlineStr">
        <is>
          <t>رسم ترخيص نشاط تقديم منتجات التبغ</t>
        </is>
      </c>
      <c r="D41" s="8" t="n">
        <v>15428499.01</v>
      </c>
      <c r="E41" s="8" t="n">
        <v>13854265.49</v>
      </c>
      <c r="F41" s="8">
        <f>E41-D41</f>
        <v/>
      </c>
      <c r="G41" s="9">
        <f>IF(D41=0,"",E41/D41)</f>
        <v/>
      </c>
      <c r="H41" s="8" t="n">
        <v>3087841.31</v>
      </c>
      <c r="I41" s="8" t="n">
        <v>986500</v>
      </c>
      <c r="J41" s="8">
        <f>I41-H41</f>
        <v/>
      </c>
      <c r="K41" s="9">
        <f>IF(H41=0,"",I41/H41)</f>
        <v/>
      </c>
      <c r="L41" s="8" t="n">
        <v>1865536.6</v>
      </c>
      <c r="M41" s="8" t="n">
        <v>437434.24</v>
      </c>
      <c r="N41" s="8" t="n">
        <v>2192443.14</v>
      </c>
      <c r="O41" s="8">
        <f>N41-L41</f>
        <v/>
      </c>
      <c r="P41" s="9">
        <f>IF(L41=0,"",N41/L41)</f>
        <v/>
      </c>
      <c r="Q41" s="8" t="n">
        <v>1246546.67</v>
      </c>
      <c r="R41" s="8" t="n">
        <v>1854262.37</v>
      </c>
      <c r="S41" s="8">
        <f>R41-Q41</f>
        <v/>
      </c>
      <c r="T41" s="9">
        <f>IF(Q41=0,"",R41/Q41)</f>
        <v/>
      </c>
      <c r="U41" s="8" t="n">
        <v>1183471.33</v>
      </c>
      <c r="V41" s="8" t="n">
        <v>1865726.12</v>
      </c>
      <c r="W41" s="8">
        <f>V41-U41</f>
        <v/>
      </c>
      <c r="X41" s="9">
        <f>IF(U41=0,"",V41/U41)</f>
        <v/>
      </c>
      <c r="Y41" s="8">
        <f>H41+L41+Q41+U41</f>
        <v/>
      </c>
      <c r="Z41" s="8">
        <f>I41+N41+R41+V41</f>
        <v/>
      </c>
      <c r="AA41" s="8">
        <f>Z41-Y41</f>
        <v/>
      </c>
      <c r="AB41" s="9">
        <f>IF(Y41=0,"",Z41/Y41)</f>
        <v/>
      </c>
    </row>
    <row r="42">
      <c r="A42" s="4" t="inlineStr">
        <is>
          <t>أخرى</t>
        </is>
      </c>
      <c r="B42" s="4" t="n"/>
      <c r="C42" s="4" t="inlineStr">
        <is>
          <t>إجمالي أخرى</t>
        </is>
      </c>
      <c r="D42" s="5">
        <f>SUM(D43:D46)</f>
        <v/>
      </c>
      <c r="E42" s="5">
        <f>SUM(E43:E46)</f>
        <v/>
      </c>
      <c r="F42" s="5">
        <f>E42-D42</f>
        <v/>
      </c>
      <c r="G42" s="6">
        <f>IF(D42=0,"",E42/D42)</f>
        <v/>
      </c>
      <c r="H42" s="5">
        <f>SUM(H43:H46)</f>
        <v/>
      </c>
      <c r="I42" s="5">
        <f>SUM(I43:I46)</f>
        <v/>
      </c>
      <c r="J42" s="5">
        <f>I42-H42</f>
        <v/>
      </c>
      <c r="K42" s="6">
        <f>IF(H42=0,"",I42/H42)</f>
        <v/>
      </c>
      <c r="L42" s="5">
        <f>SUM(L43:L46)</f>
        <v/>
      </c>
      <c r="M42" s="5">
        <f>SUM(M43:M46)</f>
        <v/>
      </c>
      <c r="N42" s="5">
        <f>SUM(N43:N46)</f>
        <v/>
      </c>
      <c r="O42" s="5">
        <f>N42-L42</f>
        <v/>
      </c>
      <c r="P42" s="6">
        <f>IF(L42=0,"",N42/L42)</f>
        <v/>
      </c>
      <c r="Q42" s="5">
        <f>SUM(Q43:Q46)</f>
        <v/>
      </c>
      <c r="R42" s="5">
        <f>SUM(R43:R46)</f>
        <v/>
      </c>
      <c r="S42" s="5">
        <f>R42-Q42</f>
        <v/>
      </c>
      <c r="T42" s="6">
        <f>IF(Q42=0,"",R42/Q42)</f>
        <v/>
      </c>
      <c r="U42" s="5">
        <f>SUM(U43:U46)</f>
        <v/>
      </c>
      <c r="V42" s="5">
        <f>SUM(V43:V46)</f>
        <v/>
      </c>
      <c r="W42" s="5">
        <f>V42-U42</f>
        <v/>
      </c>
      <c r="X42" s="6">
        <f>IF(U42=0,"",V42/U42)</f>
        <v/>
      </c>
      <c r="Y42" s="5">
        <f>H42+L42+Q42+U42</f>
        <v/>
      </c>
      <c r="Z42" s="5">
        <f>I42+N42+R42+V42</f>
        <v/>
      </c>
      <c r="AA42" s="5">
        <f>Z42-Y42</f>
        <v/>
      </c>
      <c r="AB42" s="6">
        <f>IF(Y42=0,"",Z42/Y42)</f>
        <v/>
      </c>
    </row>
    <row r="43">
      <c r="A43" s="7" t="inlineStr">
        <is>
          <t>أخرى</t>
        </is>
      </c>
      <c r="B43" s="7" t="inlineStr">
        <is>
          <t>1421999</t>
        </is>
      </c>
      <c r="C43" s="7" t="inlineStr">
        <is>
          <t>مبيعات أخرى</t>
        </is>
      </c>
      <c r="D43" s="8" t="n">
        <v>74370598.66</v>
      </c>
      <c r="E43" s="8" t="n">
        <v>130326875.93</v>
      </c>
      <c r="F43" s="8">
        <f>E43-D43</f>
        <v/>
      </c>
      <c r="G43" s="9">
        <f>IF(D43=0,"",E43/D43)</f>
        <v/>
      </c>
      <c r="H43" s="8" t="n">
        <v>16272410.09</v>
      </c>
      <c r="I43" s="8" t="n">
        <v>37169047.64</v>
      </c>
      <c r="J43" s="8">
        <f>I43-H43</f>
        <v/>
      </c>
      <c r="K43" s="9">
        <f>IF(H43=0,"",I43/H43)</f>
        <v/>
      </c>
      <c r="L43" s="8" t="n">
        <v>7531118.23</v>
      </c>
      <c r="M43" s="8" t="n">
        <v>7217587.27</v>
      </c>
      <c r="N43" s="8" t="n">
        <v>14640342.46</v>
      </c>
      <c r="O43" s="8">
        <f>N43-L43</f>
        <v/>
      </c>
      <c r="P43" s="9">
        <f>IF(L43=0,"",N43/L43)</f>
        <v/>
      </c>
      <c r="Q43" s="8" t="n">
        <v>2119658.52</v>
      </c>
      <c r="R43" s="8" t="n">
        <v>8825433.380000001</v>
      </c>
      <c r="S43" s="8">
        <f>R43-Q43</f>
        <v/>
      </c>
      <c r="T43" s="9">
        <f>IF(Q43=0,"",R43/Q43)</f>
        <v/>
      </c>
      <c r="U43" s="8" t="n">
        <v>9129947.939999999</v>
      </c>
      <c r="V43" s="8" t="n">
        <v>10106527.68</v>
      </c>
      <c r="W43" s="8">
        <f>V43-U43</f>
        <v/>
      </c>
      <c r="X43" s="9">
        <f>IF(U43=0,"",V43/U43)</f>
        <v/>
      </c>
      <c r="Y43" s="8">
        <f>H43+L43+Q43+U43</f>
        <v/>
      </c>
      <c r="Z43" s="8">
        <f>I43+N43+R43+V43</f>
        <v/>
      </c>
      <c r="AA43" s="8">
        <f>Z43-Y43</f>
        <v/>
      </c>
      <c r="AB43" s="9">
        <f>IF(Y43=0,"",Z43/Y43)</f>
        <v/>
      </c>
    </row>
    <row r="44">
      <c r="A44" s="7" t="inlineStr">
        <is>
          <t>أخرى</t>
        </is>
      </c>
      <c r="B44" s="7" t="inlineStr">
        <is>
          <t>144122</t>
        </is>
      </c>
      <c r="C44" s="7" t="inlineStr">
        <is>
          <t>إيرادات  متنوعه</t>
        </is>
      </c>
      <c r="D44" s="8" t="n">
        <v>3838737.45</v>
      </c>
      <c r="E44" s="8" t="n">
        <v>55804724.95</v>
      </c>
      <c r="F44" s="8">
        <f>E44-D44</f>
        <v/>
      </c>
      <c r="G44" s="9">
        <f>IF(D44=0,"",E44/D44)</f>
        <v/>
      </c>
      <c r="H44" s="8" t="n">
        <v>437108.39</v>
      </c>
      <c r="I44" s="8" t="n">
        <v>345776</v>
      </c>
      <c r="J44" s="8">
        <f>I44-H44</f>
        <v/>
      </c>
      <c r="K44" s="9">
        <f>IF(H44=0,"",I44/H44)</f>
        <v/>
      </c>
      <c r="L44" s="8" t="n">
        <v>437108.39</v>
      </c>
      <c r="M44" s="8" t="n">
        <v>124953</v>
      </c>
      <c r="N44" s="8" t="n">
        <v>1277426.25</v>
      </c>
      <c r="O44" s="8">
        <f>N44-L44</f>
        <v/>
      </c>
      <c r="P44" s="9">
        <f>IF(L44=0,"",N44/L44)</f>
        <v/>
      </c>
      <c r="Q44" s="8" t="n">
        <v>437120.39</v>
      </c>
      <c r="R44" s="8" t="n">
        <v>333037.59</v>
      </c>
      <c r="S44" s="8">
        <f>R44-Q44</f>
        <v/>
      </c>
      <c r="T44" s="9">
        <f>IF(Q44=0,"",R44/Q44)</f>
        <v/>
      </c>
      <c r="U44" s="8" t="n">
        <v>684676.76</v>
      </c>
      <c r="V44" s="8" t="n">
        <v>338544.57</v>
      </c>
      <c r="W44" s="8">
        <f>V44-U44</f>
        <v/>
      </c>
      <c r="X44" s="9">
        <f>IF(U44=0,"",V44/U44)</f>
        <v/>
      </c>
      <c r="Y44" s="8">
        <f>H44+L44+Q44+U44</f>
        <v/>
      </c>
      <c r="Z44" s="8">
        <f>I44+N44+R44+V44</f>
        <v/>
      </c>
      <c r="AA44" s="8">
        <f>Z44-Y44</f>
        <v/>
      </c>
      <c r="AB44" s="9">
        <f>IF(Y44=0,"",Z44/Y44)</f>
        <v/>
      </c>
    </row>
    <row r="45">
      <c r="A45" s="7" t="inlineStr">
        <is>
          <t>أخرى</t>
        </is>
      </c>
      <c r="B45" s="7" t="inlineStr">
        <is>
          <t>1422202</t>
        </is>
      </c>
      <c r="C45" s="7" t="inlineStr">
        <is>
          <t>نقـل الملكيـة</t>
        </is>
      </c>
      <c r="D45" s="8" t="n">
        <v>0</v>
      </c>
      <c r="E45" s="8" t="n">
        <v>4792650</v>
      </c>
      <c r="F45" s="8">
        <f>E45-D45</f>
        <v/>
      </c>
      <c r="G45" s="9">
        <f>IF(D45=0,"",E45/D45)</f>
        <v/>
      </c>
      <c r="H45" s="8" t="n">
        <v>0</v>
      </c>
      <c r="I45" s="8" t="n">
        <v>0</v>
      </c>
      <c r="J45" s="8">
        <f>I45-H45</f>
        <v/>
      </c>
      <c r="K45" s="9">
        <f>IF(H45=0,"",I45/H45)</f>
        <v/>
      </c>
      <c r="L45" s="8" t="n">
        <v>0</v>
      </c>
      <c r="M45" s="8" t="n">
        <v>0</v>
      </c>
      <c r="N45" s="8" t="n">
        <v>0</v>
      </c>
      <c r="O45" s="8">
        <f>N45-L45</f>
        <v/>
      </c>
      <c r="P45" s="9">
        <f>IF(L45=0,"",N45/L45)</f>
        <v/>
      </c>
      <c r="Q45" s="8" t="n">
        <v>0</v>
      </c>
      <c r="R45" s="8" t="n">
        <v>0</v>
      </c>
      <c r="S45" s="8">
        <f>R45-Q45</f>
        <v/>
      </c>
      <c r="T45" s="9">
        <f>IF(Q45=0,"",R45/Q45)</f>
        <v/>
      </c>
      <c r="U45" s="8" t="n">
        <v>0</v>
      </c>
      <c r="V45" s="8" t="n">
        <v>0</v>
      </c>
      <c r="W45" s="8">
        <f>V45-U45</f>
        <v/>
      </c>
      <c r="X45" s="9">
        <f>IF(U45=0,"",V45/U45)</f>
        <v/>
      </c>
      <c r="Y45" s="8">
        <f>H45+L45+Q45+U45</f>
        <v/>
      </c>
      <c r="Z45" s="8">
        <f>I45+N45+R45+V45</f>
        <v/>
      </c>
      <c r="AA45" s="8">
        <f>Z45-Y45</f>
        <v/>
      </c>
      <c r="AB45" s="9">
        <f>IF(Y45=0,"",Z45/Y45)</f>
        <v/>
      </c>
    </row>
    <row r="46">
      <c r="A46" s="7" t="inlineStr">
        <is>
          <t>أخرى</t>
        </is>
      </c>
      <c r="B46" s="7" t="inlineStr">
        <is>
          <t>1421901</t>
        </is>
      </c>
      <c r="C46" s="7" t="inlineStr">
        <is>
          <t>بيع الوثائق والأنظمة</t>
        </is>
      </c>
      <c r="D46" s="8" t="n">
        <v>5007253.34</v>
      </c>
      <c r="E46" s="8" t="n">
        <v>2418825.35</v>
      </c>
      <c r="F46" s="8">
        <f>E46-D46</f>
        <v/>
      </c>
      <c r="G46" s="9">
        <f>IF(D46=0,"",E46/D46)</f>
        <v/>
      </c>
      <c r="H46" s="8" t="n">
        <v>556361.4300000001</v>
      </c>
      <c r="I46" s="8" t="n">
        <v>148482.35</v>
      </c>
      <c r="J46" s="8">
        <f>I46-H46</f>
        <v/>
      </c>
      <c r="K46" s="9">
        <f>IF(H46=0,"",I46/H46)</f>
        <v/>
      </c>
      <c r="L46" s="8" t="n">
        <v>556368.8</v>
      </c>
      <c r="M46" s="8" t="n">
        <v>179280.35</v>
      </c>
      <c r="N46" s="8" t="n">
        <v>269650</v>
      </c>
      <c r="O46" s="8">
        <f>N46-L46</f>
        <v/>
      </c>
      <c r="P46" s="9">
        <f>IF(L46=0,"",N46/L46)</f>
        <v/>
      </c>
      <c r="Q46" s="8" t="n">
        <v>556377.2</v>
      </c>
      <c r="R46" s="8" t="n">
        <v>270849</v>
      </c>
      <c r="S46" s="8">
        <f>R46-Q46</f>
        <v/>
      </c>
      <c r="T46" s="9">
        <f>IF(Q46=0,"",R46/Q46)</f>
        <v/>
      </c>
      <c r="U46" s="8" t="n">
        <v>555958.98</v>
      </c>
      <c r="V46" s="8" t="n">
        <v>196846.97</v>
      </c>
      <c r="W46" s="8">
        <f>V46-U46</f>
        <v/>
      </c>
      <c r="X46" s="9">
        <f>IF(U46=0,"",V46/U46)</f>
        <v/>
      </c>
      <c r="Y46" s="8">
        <f>H46+L46+Q46+U46</f>
        <v/>
      </c>
      <c r="Z46" s="8">
        <f>I46+N46+R46+V46</f>
        <v/>
      </c>
      <c r="AA46" s="8">
        <f>Z46-Y46</f>
        <v/>
      </c>
      <c r="AB46" s="9">
        <f>IF(Y46=0,"",Z46/Y46)</f>
        <v/>
      </c>
    </row>
    <row r="47">
      <c r="A47" s="4" t="inlineStr">
        <is>
          <t>علم / جزاءات</t>
        </is>
      </c>
      <c r="B47" s="4" t="n"/>
      <c r="C47" s="4" t="inlineStr">
        <is>
          <t>إجمالي علم / جزاءات</t>
        </is>
      </c>
      <c r="D47" s="5">
        <f>SUM(D48:D48)</f>
        <v/>
      </c>
      <c r="E47" s="5">
        <f>SUM(E48:E48)</f>
        <v/>
      </c>
      <c r="F47" s="5">
        <f>E47-D47</f>
        <v/>
      </c>
      <c r="G47" s="6">
        <f>IF(D47=0,"",E47/D47)</f>
        <v/>
      </c>
      <c r="H47" s="5">
        <f>SUM(H48:H48)</f>
        <v/>
      </c>
      <c r="I47" s="5">
        <f>SUM(I48:I48)</f>
        <v/>
      </c>
      <c r="J47" s="5">
        <f>I47-H47</f>
        <v/>
      </c>
      <c r="K47" s="6">
        <f>IF(H47=0,"",I47/H47)</f>
        <v/>
      </c>
      <c r="L47" s="5">
        <f>SUM(L48:L48)</f>
        <v/>
      </c>
      <c r="M47" s="5">
        <f>SUM(M48:M48)</f>
        <v/>
      </c>
      <c r="N47" s="5">
        <f>SUM(N48:N48)</f>
        <v/>
      </c>
      <c r="O47" s="5">
        <f>N47-L47</f>
        <v/>
      </c>
      <c r="P47" s="6">
        <f>IF(L47=0,"",N47/L47)</f>
        <v/>
      </c>
      <c r="Q47" s="5">
        <f>SUM(Q48:Q48)</f>
        <v/>
      </c>
      <c r="R47" s="5">
        <f>SUM(R48:R48)</f>
        <v/>
      </c>
      <c r="S47" s="5">
        <f>R47-Q47</f>
        <v/>
      </c>
      <c r="T47" s="6">
        <f>IF(Q47=0,"",R47/Q47)</f>
        <v/>
      </c>
      <c r="U47" s="5">
        <f>SUM(U48:U48)</f>
        <v/>
      </c>
      <c r="V47" s="5">
        <f>SUM(V48:V48)</f>
        <v/>
      </c>
      <c r="W47" s="5">
        <f>V47-U47</f>
        <v/>
      </c>
      <c r="X47" s="6">
        <f>IF(U47=0,"",V47/U47)</f>
        <v/>
      </c>
      <c r="Y47" s="5">
        <f>H47+L47+Q47+U47</f>
        <v/>
      </c>
      <c r="Z47" s="5">
        <f>I47+N47+R47+V47</f>
        <v/>
      </c>
      <c r="AA47" s="5">
        <f>Z47-Y47</f>
        <v/>
      </c>
      <c r="AB47" s="6">
        <f>IF(Y47=0,"",Z47/Y47)</f>
        <v/>
      </c>
    </row>
    <row r="48">
      <c r="A48" s="7" t="inlineStr">
        <is>
          <t>علم / جزاءات</t>
        </is>
      </c>
      <c r="B48" s="7" t="inlineStr">
        <is>
          <t>بدون رقم</t>
        </is>
      </c>
      <c r="C48" s="7" t="inlineStr">
        <is>
          <t>بدون رقم (خدمات علم + جزاءات)</t>
        </is>
      </c>
      <c r="D48" s="8" t="n">
        <v>0</v>
      </c>
      <c r="E48" s="8" t="n">
        <v>0</v>
      </c>
      <c r="F48" s="8">
        <f>E48-D48</f>
        <v/>
      </c>
      <c r="G48" s="9">
        <f>IF(D48=0,"",E48/D48)</f>
        <v/>
      </c>
      <c r="H48" s="8" t="n">
        <v>0</v>
      </c>
      <c r="I48" s="8" t="n">
        <v>0</v>
      </c>
      <c r="J48" s="8">
        <f>I48-H48</f>
        <v/>
      </c>
      <c r="K48" s="9">
        <f>IF(H48=0,"",I48/H48)</f>
        <v/>
      </c>
      <c r="L48" s="8" t="n">
        <v>0</v>
      </c>
      <c r="M48" s="8" t="n">
        <v>390906.25</v>
      </c>
      <c r="N48" s="8" t="n">
        <v>1246768.12</v>
      </c>
      <c r="O48" s="8">
        <f>N48-L48</f>
        <v/>
      </c>
      <c r="P48" s="9">
        <f>IF(L48=0,"",N48/L48)</f>
        <v/>
      </c>
      <c r="Q48" s="8" t="n">
        <v>0</v>
      </c>
      <c r="R48" s="8" t="n">
        <v>1133123.14</v>
      </c>
      <c r="S48" s="8">
        <f>R48-Q48</f>
        <v/>
      </c>
      <c r="T48" s="9">
        <f>IF(Q48=0,"",R48/Q48)</f>
        <v/>
      </c>
      <c r="U48" s="8" t="n">
        <v>0</v>
      </c>
      <c r="V48" s="8" t="n">
        <v>1216779.68</v>
      </c>
      <c r="W48" s="8">
        <f>V48-U48</f>
        <v/>
      </c>
      <c r="X48" s="9">
        <f>IF(U48=0,"",V48/U48)</f>
        <v/>
      </c>
      <c r="Y48" s="8">
        <f>H48+L48+Q48+U48</f>
        <v/>
      </c>
      <c r="Z48" s="8">
        <f>I48+N48+R48+V48</f>
        <v/>
      </c>
      <c r="AA48" s="8">
        <f>Z48-Y48</f>
        <v/>
      </c>
      <c r="AB48" s="9">
        <f>IF(Y48=0,"",Z48/Y48)</f>
        <v/>
      </c>
    </row>
    <row r="49">
      <c r="A49" s="10" t="n"/>
      <c r="B49" s="10" t="n"/>
      <c r="C49" s="10" t="inlineStr">
        <is>
          <t>الإجمالي العام</t>
        </is>
      </c>
      <c r="D49" s="11">
        <f>D6+D14+D33+D38+D42+D47</f>
        <v/>
      </c>
      <c r="E49" s="11">
        <f>E6+E14+E33+E38+E42+E47</f>
        <v/>
      </c>
      <c r="F49" s="11">
        <f>E49-D49</f>
        <v/>
      </c>
      <c r="G49" s="12">
        <f>IF(D49=0,"",E49/D49)</f>
        <v/>
      </c>
      <c r="H49" s="11">
        <f>H6+H14+H33+H38+H42+H47</f>
        <v/>
      </c>
      <c r="I49" s="11">
        <f>I6+I14+I33+I38+I42+I47</f>
        <v/>
      </c>
      <c r="J49" s="11">
        <f>I49-H49</f>
        <v/>
      </c>
      <c r="K49" s="12">
        <f>IF(H49=0,"",I49/H49)</f>
        <v/>
      </c>
      <c r="L49" s="11">
        <f>L6+L14+L33+L38+L42+L47</f>
        <v/>
      </c>
      <c r="M49" s="11">
        <f>M6+M14+M33+M38+M42+M47</f>
        <v/>
      </c>
      <c r="N49" s="11">
        <f>N6+N14+N33+N38+N42+N47</f>
        <v/>
      </c>
      <c r="O49" s="11">
        <f>N49-L49</f>
        <v/>
      </c>
      <c r="P49" s="12">
        <f>IF(L49=0,"",N49/L49)</f>
        <v/>
      </c>
      <c r="Q49" s="11">
        <f>Q6+Q14+Q33+Q38+Q42+Q47</f>
        <v/>
      </c>
      <c r="R49" s="11">
        <f>R6+R14+R33+R38+R42+R47</f>
        <v/>
      </c>
      <c r="S49" s="11">
        <f>R49-Q49</f>
        <v/>
      </c>
      <c r="T49" s="12">
        <f>IF(Q49=0,"",R49/Q49)</f>
        <v/>
      </c>
      <c r="U49" s="11">
        <f>U6+U14+U33+U38+U42+U47</f>
        <v/>
      </c>
      <c r="V49" s="11">
        <f>V6+V14+V33+V38+V42+V47</f>
        <v/>
      </c>
      <c r="W49" s="11">
        <f>V49-U49</f>
        <v/>
      </c>
      <c r="X49" s="12">
        <f>IF(U49=0,"",V49/U49)</f>
        <v/>
      </c>
      <c r="Y49" s="11">
        <f>H49+L49+Q49+U49</f>
        <v/>
      </c>
      <c r="Z49" s="11">
        <f>I49+N49+R49+V49</f>
        <v/>
      </c>
      <c r="AA49" s="11">
        <f>Z49-Y49</f>
        <v/>
      </c>
      <c r="AB49" s="12">
        <f>IF(Y49=0,"",Z49/Y49)</f>
        <v/>
      </c>
    </row>
  </sheetData>
  <mergeCells count="10">
    <mergeCell ref="A2:AB2"/>
    <mergeCell ref="H4:K4"/>
    <mergeCell ref="L4:P4"/>
    <mergeCell ref="B4:B5"/>
    <mergeCell ref="Q4:T4"/>
    <mergeCell ref="C4:C5"/>
    <mergeCell ref="A4:A5"/>
    <mergeCell ref="U4:X4"/>
    <mergeCell ref="Y4:AB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9"/>
  <sheetViews>
    <sheetView rightToLeft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1" t="inlineStr">
        <is>
          <t>المستهدف والمحصل التراكمي حتى سبتمبر والشهري سبتمبر–ديسمبر 2026 — الأسوأ (متحفظ)</t>
        </is>
      </c>
    </row>
    <row r="2" ht="60" customHeight="1">
      <c r="A2" s="2" t="inlineStr">
        <is>
          <t>المستهدف والمحصل الفعلي من ملف المراقبة (قبل الاستقطاع، بدون ضريبة القيمة المضافة). التراكمي = مجموع يناير إلى سبتمبر. أكتوبر: المحصل حتى تاريخ الملف مع توقع الشهر كاملاً. نوفمبر وديسمبر: توقع. الأرقام بالريال والحسابات مجمّعة تحت التبويب. طريقة الأسوأ: لكل شهر، أدنى قيمة تاريخية لنفس الشهر (2023–2025) × معامل الاتجاه (بحد أقصى 1)، ولا يقل أكتوبر عن المحصل حتى تاريخه.</t>
        </is>
      </c>
    </row>
    <row r="4">
      <c r="A4" s="3" t="inlineStr">
        <is>
          <t>التبويب</t>
        </is>
      </c>
      <c r="B4" s="3" t="inlineStr">
        <is>
          <t>رقم الحساب</t>
        </is>
      </c>
      <c r="C4" s="3" t="inlineStr">
        <is>
          <t>اسم الحساب</t>
        </is>
      </c>
      <c r="D4" s="3" t="inlineStr">
        <is>
          <t>التراكمي يناير–سبتمبر (فعلي)</t>
        </is>
      </c>
      <c r="E4" s="3" t="n"/>
      <c r="F4" s="3" t="n"/>
      <c r="G4" s="3" t="n"/>
      <c r="H4" s="3" t="inlineStr">
        <is>
          <t>سبتمبر (فعلي)</t>
        </is>
      </c>
      <c r="I4" s="3" t="n"/>
      <c r="J4" s="3" t="n"/>
      <c r="K4" s="3" t="n"/>
      <c r="L4" s="3" t="inlineStr">
        <is>
          <t>أكتوبر</t>
        </is>
      </c>
      <c r="M4" s="3" t="n"/>
      <c r="N4" s="3" t="n"/>
      <c r="O4" s="3" t="n"/>
      <c r="P4" s="3" t="n"/>
      <c r="Q4" s="3" t="inlineStr">
        <is>
          <t>نوفمبر</t>
        </is>
      </c>
      <c r="R4" s="3" t="n"/>
      <c r="S4" s="3" t="n"/>
      <c r="T4" s="3" t="n"/>
      <c r="U4" s="3" t="inlineStr">
        <is>
          <t>ديسمبر</t>
        </is>
      </c>
      <c r="V4" s="3" t="n"/>
      <c r="W4" s="3" t="n"/>
      <c r="X4" s="3" t="n"/>
      <c r="Y4" s="3" t="inlineStr">
        <is>
          <t>المجموع سبتمبر–ديسمبر</t>
        </is>
      </c>
      <c r="Z4" s="3" t="n"/>
      <c r="AA4" s="3" t="n"/>
      <c r="AB4" s="3" t="n"/>
    </row>
    <row r="5" ht="34" customHeight="1">
      <c r="A5" s="3" t="n"/>
      <c r="B5" s="3" t="n"/>
      <c r="C5" s="3" t="n"/>
      <c r="D5" s="3" t="inlineStr">
        <is>
          <t>المستهدف</t>
        </is>
      </c>
      <c r="E5" s="3" t="inlineStr">
        <is>
          <t>المحصل الفعلي</t>
        </is>
      </c>
      <c r="F5" s="3" t="inlineStr">
        <is>
          <t>الفرق عن المستهدف</t>
        </is>
      </c>
      <c r="G5" s="3" t="inlineStr">
        <is>
          <t>% من المستهدف</t>
        </is>
      </c>
      <c r="H5" s="3" t="inlineStr">
        <is>
          <t>المستهدف</t>
        </is>
      </c>
      <c r="I5" s="3" t="inlineStr">
        <is>
          <t>المحصل الفعلي</t>
        </is>
      </c>
      <c r="J5" s="3" t="inlineStr">
        <is>
          <t>الفرق عن المستهدف</t>
        </is>
      </c>
      <c r="K5" s="3" t="inlineStr">
        <is>
          <t>% من المستهدف</t>
        </is>
      </c>
      <c r="L5" s="3" t="inlineStr">
        <is>
          <t>المستهدف</t>
        </is>
      </c>
      <c r="M5" s="3" t="inlineStr">
        <is>
          <t>المحصل حتى تاريخه</t>
        </is>
      </c>
      <c r="N5" s="3" t="inlineStr">
        <is>
          <t>المتوقع (الشهر كاملاً)</t>
        </is>
      </c>
      <c r="O5" s="3" t="inlineStr">
        <is>
          <t>الفرق عن المستهدف</t>
        </is>
      </c>
      <c r="P5" s="3" t="inlineStr">
        <is>
          <t>% من المستهدف</t>
        </is>
      </c>
      <c r="Q5" s="3" t="inlineStr">
        <is>
          <t>المستهدف</t>
        </is>
      </c>
      <c r="R5" s="3" t="inlineStr">
        <is>
          <t>المتوقع</t>
        </is>
      </c>
      <c r="S5" s="3" t="inlineStr">
        <is>
          <t>الفرق عن المستهدف</t>
        </is>
      </c>
      <c r="T5" s="3" t="inlineStr">
        <is>
          <t>% من المستهدف</t>
        </is>
      </c>
      <c r="U5" s="3" t="inlineStr">
        <is>
          <t>المستهدف</t>
        </is>
      </c>
      <c r="V5" s="3" t="inlineStr">
        <is>
          <t>المتوقع</t>
        </is>
      </c>
      <c r="W5" s="3" t="inlineStr">
        <is>
          <t>الفرق عن المستهدف</t>
        </is>
      </c>
      <c r="X5" s="3" t="inlineStr">
        <is>
          <t>% من المستهدف</t>
        </is>
      </c>
      <c r="Y5" s="3" t="inlineStr">
        <is>
          <t>المستهدف</t>
        </is>
      </c>
      <c r="Z5" s="3" t="inlineStr">
        <is>
          <t>المحصل + المتوقع</t>
        </is>
      </c>
      <c r="AA5" s="3" t="inlineStr">
        <is>
          <t>الفرق عن المستهدف</t>
        </is>
      </c>
      <c r="AB5" s="3" t="inlineStr">
        <is>
          <t>% من المستهدف</t>
        </is>
      </c>
    </row>
    <row r="6">
      <c r="A6" s="4" t="inlineStr">
        <is>
          <t>إيرادات إستثمارية</t>
        </is>
      </c>
      <c r="B6" s="4" t="n"/>
      <c r="C6" s="4" t="inlineStr">
        <is>
          <t>إجمالي إيرادات إستثمارية</t>
        </is>
      </c>
      <c r="D6" s="5">
        <f>SUM(D7:D13)</f>
        <v/>
      </c>
      <c r="E6" s="5">
        <f>SUM(E7:E13)</f>
        <v/>
      </c>
      <c r="F6" s="5">
        <f>E6-D6</f>
        <v/>
      </c>
      <c r="G6" s="6">
        <f>IF(D6=0,"",E6/D6)</f>
        <v/>
      </c>
      <c r="H6" s="5">
        <f>SUM(H7:H13)</f>
        <v/>
      </c>
      <c r="I6" s="5">
        <f>SUM(I7:I13)</f>
        <v/>
      </c>
      <c r="J6" s="5">
        <f>I6-H6</f>
        <v/>
      </c>
      <c r="K6" s="6">
        <f>IF(H6=0,"",I6/H6)</f>
        <v/>
      </c>
      <c r="L6" s="5">
        <f>SUM(L7:L13)</f>
        <v/>
      </c>
      <c r="M6" s="5">
        <f>SUM(M7:M13)</f>
        <v/>
      </c>
      <c r="N6" s="5">
        <f>SUM(N7:N13)</f>
        <v/>
      </c>
      <c r="O6" s="5">
        <f>N6-L6</f>
        <v/>
      </c>
      <c r="P6" s="6">
        <f>IF(L6=0,"",N6/L6)</f>
        <v/>
      </c>
      <c r="Q6" s="5">
        <f>SUM(Q7:Q13)</f>
        <v/>
      </c>
      <c r="R6" s="5">
        <f>SUM(R7:R13)</f>
        <v/>
      </c>
      <c r="S6" s="5">
        <f>R6-Q6</f>
        <v/>
      </c>
      <c r="T6" s="6">
        <f>IF(Q6=0,"",R6/Q6)</f>
        <v/>
      </c>
      <c r="U6" s="5">
        <f>SUM(U7:U13)</f>
        <v/>
      </c>
      <c r="V6" s="5">
        <f>SUM(V7:V13)</f>
        <v/>
      </c>
      <c r="W6" s="5">
        <f>V6-U6</f>
        <v/>
      </c>
      <c r="X6" s="6">
        <f>IF(U6=0,"",V6/U6)</f>
        <v/>
      </c>
      <c r="Y6" s="5">
        <f>H6+L6+Q6+U6</f>
        <v/>
      </c>
      <c r="Z6" s="5">
        <f>I6+N6+R6+V6</f>
        <v/>
      </c>
      <c r="AA6" s="5">
        <f>Z6-Y6</f>
        <v/>
      </c>
      <c r="AB6" s="6">
        <f>IF(Y6=0,"",Z6/Y6)</f>
        <v/>
      </c>
    </row>
    <row r="7">
      <c r="A7" s="7" t="inlineStr">
        <is>
          <t>إيرادات إستثمارية</t>
        </is>
      </c>
      <c r="B7" s="7" t="inlineStr">
        <is>
          <t>14155</t>
        </is>
      </c>
      <c r="C7" s="7" t="inlineStr">
        <is>
          <t>ريع الأراضي (تأجير الأراض )</t>
        </is>
      </c>
      <c r="D7" s="8" t="n">
        <v>428594563.82</v>
      </c>
      <c r="E7" s="8" t="n">
        <v>612328416.96</v>
      </c>
      <c r="F7" s="8">
        <f>E7-D7</f>
        <v/>
      </c>
      <c r="G7" s="9">
        <f>IF(D7=0,"",E7/D7)</f>
        <v/>
      </c>
      <c r="H7" s="8" t="n">
        <v>51408989.3</v>
      </c>
      <c r="I7" s="8" t="n">
        <v>55595082.92</v>
      </c>
      <c r="J7" s="8">
        <f>I7-H7</f>
        <v/>
      </c>
      <c r="K7" s="9">
        <f>IF(H7=0,"",I7/H7)</f>
        <v/>
      </c>
      <c r="L7" s="8" t="n">
        <v>199630948.23</v>
      </c>
      <c r="M7" s="8" t="n">
        <v>32158747.69</v>
      </c>
      <c r="N7" s="8" t="n">
        <v>44284437.89</v>
      </c>
      <c r="O7" s="8">
        <f>N7-L7</f>
        <v/>
      </c>
      <c r="P7" s="9">
        <f>IF(L7=0,"",N7/L7)</f>
        <v/>
      </c>
      <c r="Q7" s="8" t="n">
        <v>66228430.48</v>
      </c>
      <c r="R7" s="8" t="n">
        <v>77297457.91</v>
      </c>
      <c r="S7" s="8">
        <f>R7-Q7</f>
        <v/>
      </c>
      <c r="T7" s="9">
        <f>IF(Q7=0,"",R7/Q7)</f>
        <v/>
      </c>
      <c r="U7" s="8" t="n">
        <v>42439465.39</v>
      </c>
      <c r="V7" s="8" t="n">
        <v>41749912.96</v>
      </c>
      <c r="W7" s="8">
        <f>V7-U7</f>
        <v/>
      </c>
      <c r="X7" s="9">
        <f>IF(U7=0,"",V7/U7)</f>
        <v/>
      </c>
      <c r="Y7" s="8">
        <f>H7+L7+Q7+U7</f>
        <v/>
      </c>
      <c r="Z7" s="8">
        <f>I7+N7+R7+V7</f>
        <v/>
      </c>
      <c r="AA7" s="8">
        <f>Z7-Y7</f>
        <v/>
      </c>
      <c r="AB7" s="9">
        <f>IF(Y7=0,"",Z7/Y7)</f>
        <v/>
      </c>
    </row>
    <row r="8">
      <c r="A8" s="7" t="inlineStr">
        <is>
          <t>إيرادات إستثمارية</t>
        </is>
      </c>
      <c r="B8" s="7" t="inlineStr">
        <is>
          <t>142162</t>
        </is>
      </c>
      <c r="C8" s="7" t="inlineStr">
        <is>
          <t>إيرادات  تأجير المرافق</t>
        </is>
      </c>
      <c r="D8" s="8" t="n">
        <v>539363594.54</v>
      </c>
      <c r="E8" s="8" t="n">
        <v>428392037.77</v>
      </c>
      <c r="F8" s="8">
        <f>E8-D8</f>
        <v/>
      </c>
      <c r="G8" s="9">
        <f>IF(D8=0,"",E8/D8)</f>
        <v/>
      </c>
      <c r="H8" s="8" t="n">
        <v>24198982.49</v>
      </c>
      <c r="I8" s="8" t="n">
        <v>1895695.14</v>
      </c>
      <c r="J8" s="8">
        <f>I8-H8</f>
        <v/>
      </c>
      <c r="K8" s="9">
        <f>IF(H8=0,"",I8/H8)</f>
        <v/>
      </c>
      <c r="L8" s="8" t="n">
        <v>28067945.58</v>
      </c>
      <c r="M8" s="8" t="n">
        <v>322955.69</v>
      </c>
      <c r="N8" s="8" t="n">
        <v>322955.69</v>
      </c>
      <c r="O8" s="8">
        <f>N8-L8</f>
        <v/>
      </c>
      <c r="P8" s="9">
        <f>IF(L8=0,"",N8/L8)</f>
        <v/>
      </c>
      <c r="Q8" s="8" t="n">
        <v>418948643.78</v>
      </c>
      <c r="R8" s="8" t="n">
        <v>72372.69</v>
      </c>
      <c r="S8" s="8">
        <f>R8-Q8</f>
        <v/>
      </c>
      <c r="T8" s="9">
        <f>IF(Q8=0,"",R8/Q8)</f>
        <v/>
      </c>
      <c r="U8" s="8" t="n">
        <v>16895879.24</v>
      </c>
      <c r="V8" s="8" t="n">
        <v>85577.31</v>
      </c>
      <c r="W8" s="8">
        <f>V8-U8</f>
        <v/>
      </c>
      <c r="X8" s="9">
        <f>IF(U8=0,"",V8/U8)</f>
        <v/>
      </c>
      <c r="Y8" s="8">
        <f>H8+L8+Q8+U8</f>
        <v/>
      </c>
      <c r="Z8" s="8">
        <f>I8+N8+R8+V8</f>
        <v/>
      </c>
      <c r="AA8" s="8">
        <f>Z8-Y8</f>
        <v/>
      </c>
      <c r="AB8" s="9">
        <f>IF(Y8=0,"",Z8/Y8)</f>
        <v/>
      </c>
    </row>
    <row r="9">
      <c r="A9" s="7" t="inlineStr">
        <is>
          <t>إيرادات إستثمارية</t>
        </is>
      </c>
      <c r="B9" s="7" t="inlineStr">
        <is>
          <t>142163</t>
        </is>
      </c>
      <c r="C9" s="7" t="inlineStr">
        <is>
          <t>إيرادات  تأجير مباني تجارية</t>
        </is>
      </c>
      <c r="D9" s="8" t="n">
        <v>37204527.68</v>
      </c>
      <c r="E9" s="8" t="n">
        <v>9866784.26</v>
      </c>
      <c r="F9" s="8">
        <f>E9-D9</f>
        <v/>
      </c>
      <c r="G9" s="9">
        <f>IF(D9=0,"",E9/D9)</f>
        <v/>
      </c>
      <c r="H9" s="8" t="n">
        <v>1231752.96</v>
      </c>
      <c r="I9" s="8" t="n">
        <v>166960.5</v>
      </c>
      <c r="J9" s="8">
        <f>I9-H9</f>
        <v/>
      </c>
      <c r="K9" s="9">
        <f>IF(H9=0,"",I9/H9)</f>
        <v/>
      </c>
      <c r="L9" s="8" t="n">
        <v>1589560.87</v>
      </c>
      <c r="M9" s="8" t="n">
        <v>380080</v>
      </c>
      <c r="N9" s="8" t="n">
        <v>380080</v>
      </c>
      <c r="O9" s="8">
        <f>N9-L9</f>
        <v/>
      </c>
      <c r="P9" s="9">
        <f>IF(L9=0,"",N9/L9)</f>
        <v/>
      </c>
      <c r="Q9" s="8" t="n">
        <v>10001631.64</v>
      </c>
      <c r="R9" s="8" t="n">
        <v>449091.47</v>
      </c>
      <c r="S9" s="8">
        <f>R9-Q9</f>
        <v/>
      </c>
      <c r="T9" s="9">
        <f>IF(Q9=0,"",R9/Q9)</f>
        <v/>
      </c>
      <c r="U9" s="8" t="n">
        <v>3599329.08</v>
      </c>
      <c r="V9" s="8" t="n">
        <v>147628.53</v>
      </c>
      <c r="W9" s="8">
        <f>V9-U9</f>
        <v/>
      </c>
      <c r="X9" s="9">
        <f>IF(U9=0,"",V9/U9)</f>
        <v/>
      </c>
      <c r="Y9" s="8">
        <f>H9+L9+Q9+U9</f>
        <v/>
      </c>
      <c r="Z9" s="8">
        <f>I9+N9+R9+V9</f>
        <v/>
      </c>
      <c r="AA9" s="8">
        <f>Z9-Y9</f>
        <v/>
      </c>
      <c r="AB9" s="9">
        <f>IF(Y9=0,"",Z9/Y9)</f>
        <v/>
      </c>
    </row>
    <row r="10">
      <c r="A10" s="7" t="inlineStr">
        <is>
          <t>إيرادات إستثمارية</t>
        </is>
      </c>
      <c r="B10" s="7" t="inlineStr">
        <is>
          <t>1421912</t>
        </is>
      </c>
      <c r="C10" s="7" t="inlineStr">
        <is>
          <t>تأجير العقارات لأغراض مؤقته</t>
        </is>
      </c>
      <c r="D10" s="8" t="n">
        <v>1967949.05</v>
      </c>
      <c r="E10" s="8" t="n">
        <v>1356112.55</v>
      </c>
      <c r="F10" s="8">
        <f>E10-D10</f>
        <v/>
      </c>
      <c r="G10" s="9">
        <f>IF(D10=0,"",E10/D10)</f>
        <v/>
      </c>
      <c r="H10" s="8" t="n">
        <v>317044.29</v>
      </c>
      <c r="I10" s="8" t="n">
        <v>404752.69</v>
      </c>
      <c r="J10" s="8">
        <f>I10-H10</f>
        <v/>
      </c>
      <c r="K10" s="9">
        <f>IF(H10=0,"",I10/H10)</f>
        <v/>
      </c>
      <c r="L10" s="8" t="n">
        <v>210967.17</v>
      </c>
      <c r="M10" s="8" t="n">
        <v>439507.53</v>
      </c>
      <c r="N10" s="8" t="n">
        <v>439507.53</v>
      </c>
      <c r="O10" s="8">
        <f>N10-L10</f>
        <v/>
      </c>
      <c r="P10" s="9">
        <f>IF(L10=0,"",N10/L10)</f>
        <v/>
      </c>
      <c r="Q10" s="8" t="n">
        <v>150620.18</v>
      </c>
      <c r="R10" s="8" t="n">
        <v>187145.09</v>
      </c>
      <c r="S10" s="8">
        <f>R10-Q10</f>
        <v/>
      </c>
      <c r="T10" s="9">
        <f>IF(Q10=0,"",R10/Q10)</f>
        <v/>
      </c>
      <c r="U10" s="8" t="n">
        <v>150849.35</v>
      </c>
      <c r="V10" s="8" t="n">
        <v>75477.83</v>
      </c>
      <c r="W10" s="8">
        <f>V10-U10</f>
        <v/>
      </c>
      <c r="X10" s="9">
        <f>IF(U10=0,"",V10/U10)</f>
        <v/>
      </c>
      <c r="Y10" s="8">
        <f>H10+L10+Q10+U10</f>
        <v/>
      </c>
      <c r="Z10" s="8">
        <f>I10+N10+R10+V10</f>
        <v/>
      </c>
      <c r="AA10" s="8">
        <f>Z10-Y10</f>
        <v/>
      </c>
      <c r="AB10" s="9">
        <f>IF(Y10=0,"",Z10/Y10)</f>
        <v/>
      </c>
    </row>
    <row r="11">
      <c r="A11" s="7" t="inlineStr">
        <is>
          <t>إيرادات إستثمارية</t>
        </is>
      </c>
      <c r="B11" s="7" t="inlineStr">
        <is>
          <t>1421903</t>
        </is>
      </c>
      <c r="C11" s="7" t="inlineStr">
        <is>
          <t>مبيعات التيار الكهربائي</t>
        </is>
      </c>
      <c r="D11" s="8" t="n">
        <v>1685201</v>
      </c>
      <c r="E11" s="8" t="n">
        <v>143551.39</v>
      </c>
      <c r="F11" s="8">
        <f>E11-D11</f>
        <v/>
      </c>
      <c r="G11" s="9">
        <f>IF(D11=0,"",E11/D11)</f>
        <v/>
      </c>
      <c r="H11" s="8" t="n">
        <v>226800</v>
      </c>
      <c r="I11" s="8" t="n">
        <v>0</v>
      </c>
      <c r="J11" s="8">
        <f>I11-H11</f>
        <v/>
      </c>
      <c r="K11" s="9">
        <f>IF(H11=0,"",I11/H11)</f>
        <v/>
      </c>
      <c r="L11" s="8" t="n">
        <v>187900</v>
      </c>
      <c r="M11" s="8" t="n">
        <v>0</v>
      </c>
      <c r="N11" s="8" t="n">
        <v>0</v>
      </c>
      <c r="O11" s="8">
        <f>N11-L11</f>
        <v/>
      </c>
      <c r="P11" s="9">
        <f>IF(L11=0,"",N11/L11)</f>
        <v/>
      </c>
      <c r="Q11" s="8" t="n">
        <v>219900</v>
      </c>
      <c r="R11" s="8" t="n">
        <v>0</v>
      </c>
      <c r="S11" s="8">
        <f>R11-Q11</f>
        <v/>
      </c>
      <c r="T11" s="9">
        <f>IF(Q11=0,"",R11/Q11)</f>
        <v/>
      </c>
      <c r="U11" s="8" t="n">
        <v>298820</v>
      </c>
      <c r="V11" s="8" t="n">
        <v>0</v>
      </c>
      <c r="W11" s="8">
        <f>V11-U11</f>
        <v/>
      </c>
      <c r="X11" s="9">
        <f>IF(U11=0,"",V11/U11)</f>
        <v/>
      </c>
      <c r="Y11" s="8">
        <f>H11+L11+Q11+U11</f>
        <v/>
      </c>
      <c r="Z11" s="8">
        <f>I11+N11+R11+V11</f>
        <v/>
      </c>
      <c r="AA11" s="8">
        <f>Z11-Y11</f>
        <v/>
      </c>
      <c r="AB11" s="9">
        <f>IF(Y11=0,"",Z11/Y11)</f>
        <v/>
      </c>
    </row>
    <row r="12">
      <c r="A12" s="7" t="inlineStr">
        <is>
          <t>إيرادات إستثمارية</t>
        </is>
      </c>
      <c r="B12" s="7" t="inlineStr">
        <is>
          <t>141229</t>
        </is>
      </c>
      <c r="C12" s="7" t="inlineStr">
        <is>
          <t>أرباح أخرى</t>
        </is>
      </c>
      <c r="D12" s="8" t="n">
        <v>30000000</v>
      </c>
      <c r="E12" s="8" t="n">
        <v>60000</v>
      </c>
      <c r="F12" s="8">
        <f>E12-D12</f>
        <v/>
      </c>
      <c r="G12" s="9">
        <f>IF(D12=0,"",E12/D12)</f>
        <v/>
      </c>
      <c r="H12" s="8" t="n">
        <v>0</v>
      </c>
      <c r="I12" s="8" t="n">
        <v>0</v>
      </c>
      <c r="J12" s="8">
        <f>I12-H12</f>
        <v/>
      </c>
      <c r="K12" s="9">
        <f>IF(H12=0,"",I12/H12)</f>
        <v/>
      </c>
      <c r="L12" s="8" t="n">
        <v>0</v>
      </c>
      <c r="M12" s="8" t="n">
        <v>60314</v>
      </c>
      <c r="N12" s="8" t="n">
        <v>60314</v>
      </c>
      <c r="O12" s="8">
        <f>N12-L12</f>
        <v/>
      </c>
      <c r="P12" s="9">
        <f>IF(L12=0,"",N12/L12)</f>
        <v/>
      </c>
      <c r="Q12" s="8" t="n">
        <v>0</v>
      </c>
      <c r="R12" s="8" t="n">
        <v>0</v>
      </c>
      <c r="S12" s="8">
        <f>R12-Q12</f>
        <v/>
      </c>
      <c r="T12" s="9">
        <f>IF(Q12=0,"",R12/Q12)</f>
        <v/>
      </c>
      <c r="U12" s="8" t="n">
        <v>0</v>
      </c>
      <c r="V12" s="8" t="n">
        <v>0</v>
      </c>
      <c r="W12" s="8">
        <f>V12-U12</f>
        <v/>
      </c>
      <c r="X12" s="9">
        <f>IF(U12=0,"",V12/U12)</f>
        <v/>
      </c>
      <c r="Y12" s="8">
        <f>H12+L12+Q12+U12</f>
        <v/>
      </c>
      <c r="Z12" s="8">
        <f>I12+N12+R12+V12</f>
        <v/>
      </c>
      <c r="AA12" s="8">
        <f>Z12-Y12</f>
        <v/>
      </c>
      <c r="AB12" s="9">
        <f>IF(Y12=0,"",Z12/Y12)</f>
        <v/>
      </c>
    </row>
    <row r="13">
      <c r="A13" s="7" t="inlineStr">
        <is>
          <t>إيرادات إستثمارية</t>
        </is>
      </c>
      <c r="B13" s="7" t="inlineStr">
        <is>
          <t>1422103</t>
        </is>
      </c>
      <c r="C13" s="7" t="inlineStr">
        <is>
          <t>تراخيص المحلات</t>
        </is>
      </c>
      <c r="D13" s="8" t="n">
        <v>0</v>
      </c>
      <c r="E13" s="8" t="n">
        <v>0</v>
      </c>
      <c r="F13" s="8">
        <f>E13-D13</f>
        <v/>
      </c>
      <c r="G13" s="9">
        <f>IF(D13=0,"",E13/D13)</f>
        <v/>
      </c>
      <c r="H13" s="8" t="n">
        <v>0</v>
      </c>
      <c r="I13" s="8" t="n">
        <v>0</v>
      </c>
      <c r="J13" s="8">
        <f>I13-H13</f>
        <v/>
      </c>
      <c r="K13" s="9">
        <f>IF(H13=0,"",I13/H13)</f>
        <v/>
      </c>
      <c r="L13" s="8" t="n">
        <v>0</v>
      </c>
      <c r="M13" s="8" t="n">
        <v>0</v>
      </c>
      <c r="N13" s="8" t="n">
        <v>0</v>
      </c>
      <c r="O13" s="8">
        <f>N13-L13</f>
        <v/>
      </c>
      <c r="P13" s="9">
        <f>IF(L13=0,"",N13/L13)</f>
        <v/>
      </c>
      <c r="Q13" s="8" t="n">
        <v>0</v>
      </c>
      <c r="R13" s="8" t="n">
        <v>96.84999999999999</v>
      </c>
      <c r="S13" s="8">
        <f>R13-Q13</f>
        <v/>
      </c>
      <c r="T13" s="9">
        <f>IF(Q13=0,"",R13/Q13)</f>
        <v/>
      </c>
      <c r="U13" s="8" t="n">
        <v>0</v>
      </c>
      <c r="V13" s="8" t="n">
        <v>17.15</v>
      </c>
      <c r="W13" s="8">
        <f>V13-U13</f>
        <v/>
      </c>
      <c r="X13" s="9">
        <f>IF(U13=0,"",V13/U13)</f>
        <v/>
      </c>
      <c r="Y13" s="8">
        <f>H13+L13+Q13+U13</f>
        <v/>
      </c>
      <c r="Z13" s="8">
        <f>I13+N13+R13+V13</f>
        <v/>
      </c>
      <c r="AA13" s="8">
        <f>Z13-Y13</f>
        <v/>
      </c>
      <c r="AB13" s="9">
        <f>IF(Y13=0,"",Z13/Y13)</f>
        <v/>
      </c>
    </row>
    <row r="14">
      <c r="A14" s="4" t="inlineStr">
        <is>
          <t>الرسوم والتراخيص</t>
        </is>
      </c>
      <c r="B14" s="4" t="n"/>
      <c r="C14" s="4" t="inlineStr">
        <is>
          <t>إجمالي الرسوم والتراخيص</t>
        </is>
      </c>
      <c r="D14" s="5">
        <f>SUM(D15:D32)</f>
        <v/>
      </c>
      <c r="E14" s="5">
        <f>SUM(E15:E32)</f>
        <v/>
      </c>
      <c r="F14" s="5">
        <f>E14-D14</f>
        <v/>
      </c>
      <c r="G14" s="6">
        <f>IF(D14=0,"",E14/D14)</f>
        <v/>
      </c>
      <c r="H14" s="5">
        <f>SUM(H15:H32)</f>
        <v/>
      </c>
      <c r="I14" s="5">
        <f>SUM(I15:I32)</f>
        <v/>
      </c>
      <c r="J14" s="5">
        <f>I14-H14</f>
        <v/>
      </c>
      <c r="K14" s="6">
        <f>IF(H14=0,"",I14/H14)</f>
        <v/>
      </c>
      <c r="L14" s="5">
        <f>SUM(L15:L32)</f>
        <v/>
      </c>
      <c r="M14" s="5">
        <f>SUM(M15:M32)</f>
        <v/>
      </c>
      <c r="N14" s="5">
        <f>SUM(N15:N32)</f>
        <v/>
      </c>
      <c r="O14" s="5">
        <f>N14-L14</f>
        <v/>
      </c>
      <c r="P14" s="6">
        <f>IF(L14=0,"",N14/L14)</f>
        <v/>
      </c>
      <c r="Q14" s="5">
        <f>SUM(Q15:Q32)</f>
        <v/>
      </c>
      <c r="R14" s="5">
        <f>SUM(R15:R32)</f>
        <v/>
      </c>
      <c r="S14" s="5">
        <f>R14-Q14</f>
        <v/>
      </c>
      <c r="T14" s="6">
        <f>IF(Q14=0,"",R14/Q14)</f>
        <v/>
      </c>
      <c r="U14" s="5">
        <f>SUM(U15:U32)</f>
        <v/>
      </c>
      <c r="V14" s="5">
        <f>SUM(V15:V32)</f>
        <v/>
      </c>
      <c r="W14" s="5">
        <f>V14-U14</f>
        <v/>
      </c>
      <c r="X14" s="6">
        <f>IF(U14=0,"",V14/U14)</f>
        <v/>
      </c>
      <c r="Y14" s="5">
        <f>H14+L14+Q14+U14</f>
        <v/>
      </c>
      <c r="Z14" s="5">
        <f>I14+N14+R14+V14</f>
        <v/>
      </c>
      <c r="AA14" s="5">
        <f>Z14-Y14</f>
        <v/>
      </c>
      <c r="AB14" s="6">
        <f>IF(Y14=0,"",Z14/Y14)</f>
        <v/>
      </c>
    </row>
    <row r="15">
      <c r="A15" s="7" t="inlineStr">
        <is>
          <t>الرسوم والتراخيص</t>
        </is>
      </c>
      <c r="B15" s="7" t="inlineStr">
        <is>
          <t>11452104</t>
        </is>
      </c>
      <c r="C15" s="7" t="inlineStr">
        <is>
          <t>إصدار رخص الأنشطة التجارية</t>
        </is>
      </c>
      <c r="D15" s="8" t="n">
        <v>242373143.58</v>
      </c>
      <c r="E15" s="8" t="n">
        <v>246600923.65</v>
      </c>
      <c r="F15" s="8">
        <f>E15-D15</f>
        <v/>
      </c>
      <c r="G15" s="9">
        <f>IF(D15=0,"",E15/D15)</f>
        <v/>
      </c>
      <c r="H15" s="8" t="n">
        <v>29676888.63</v>
      </c>
      <c r="I15" s="8" t="n">
        <v>28933649.47</v>
      </c>
      <c r="J15" s="8">
        <f>I15-H15</f>
        <v/>
      </c>
      <c r="K15" s="9">
        <f>IF(H15=0,"",I15/H15)</f>
        <v/>
      </c>
      <c r="L15" s="8" t="n">
        <v>27386694.11</v>
      </c>
      <c r="M15" s="8" t="n">
        <v>13834961.34</v>
      </c>
      <c r="N15" s="8" t="n">
        <v>23888796.32</v>
      </c>
      <c r="O15" s="8">
        <f>N15-L15</f>
        <v/>
      </c>
      <c r="P15" s="9">
        <f>IF(L15=0,"",N15/L15)</f>
        <v/>
      </c>
      <c r="Q15" s="8" t="n">
        <v>18812341.93</v>
      </c>
      <c r="R15" s="8" t="n">
        <v>19715941.5</v>
      </c>
      <c r="S15" s="8">
        <f>R15-Q15</f>
        <v/>
      </c>
      <c r="T15" s="9">
        <f>IF(Q15=0,"",R15/Q15)</f>
        <v/>
      </c>
      <c r="U15" s="8" t="n">
        <v>27342479.23</v>
      </c>
      <c r="V15" s="8" t="n">
        <v>25775386.38</v>
      </c>
      <c r="W15" s="8">
        <f>V15-U15</f>
        <v/>
      </c>
      <c r="X15" s="9">
        <f>IF(U15=0,"",V15/U15)</f>
        <v/>
      </c>
      <c r="Y15" s="8">
        <f>H15+L15+Q15+U15</f>
        <v/>
      </c>
      <c r="Z15" s="8">
        <f>I15+N15+R15+V15</f>
        <v/>
      </c>
      <c r="AA15" s="8">
        <f>Z15-Y15</f>
        <v/>
      </c>
      <c r="AB15" s="9">
        <f>IF(Y15=0,"",Z15/Y15)</f>
        <v/>
      </c>
    </row>
    <row r="16">
      <c r="A16" s="7" t="inlineStr">
        <is>
          <t>الرسوم والتراخيص</t>
        </is>
      </c>
      <c r="B16" s="7" t="inlineStr">
        <is>
          <t>11452103</t>
        </is>
      </c>
      <c r="C16" s="7" t="inlineStr">
        <is>
          <t>ايراد اصدار تراخيص المباني والاسوار - أمانة منطقة الرياض</t>
        </is>
      </c>
      <c r="D16" s="8" t="n">
        <v>246501816.49</v>
      </c>
      <c r="E16" s="8" t="n">
        <v>203647636.8</v>
      </c>
      <c r="F16" s="8">
        <f>E16-D16</f>
        <v/>
      </c>
      <c r="G16" s="9">
        <f>IF(D16=0,"",E16/D16)</f>
        <v/>
      </c>
      <c r="H16" s="8" t="n">
        <v>26586467.38</v>
      </c>
      <c r="I16" s="8" t="n">
        <v>25008472.12</v>
      </c>
      <c r="J16" s="8">
        <f>I16-H16</f>
        <v/>
      </c>
      <c r="K16" s="9">
        <f>IF(H16=0,"",I16/H16)</f>
        <v/>
      </c>
      <c r="L16" s="8" t="n">
        <v>24670480.29</v>
      </c>
      <c r="M16" s="8" t="n">
        <v>10111052.72</v>
      </c>
      <c r="N16" s="8" t="n">
        <v>18226070.37</v>
      </c>
      <c r="O16" s="8">
        <f>N16-L16</f>
        <v/>
      </c>
      <c r="P16" s="9">
        <f>IF(L16=0,"",N16/L16)</f>
        <v/>
      </c>
      <c r="Q16" s="8" t="n">
        <v>20693616.54</v>
      </c>
      <c r="R16" s="8" t="n">
        <v>16530910.72</v>
      </c>
      <c r="S16" s="8">
        <f>R16-Q16</f>
        <v/>
      </c>
      <c r="T16" s="9">
        <f>IF(Q16=0,"",R16/Q16)</f>
        <v/>
      </c>
      <c r="U16" s="8" t="n">
        <v>25538510.67</v>
      </c>
      <c r="V16" s="8" t="n">
        <v>21392720.2</v>
      </c>
      <c r="W16" s="8">
        <f>V16-U16</f>
        <v/>
      </c>
      <c r="X16" s="9">
        <f>IF(U16=0,"",V16/U16)</f>
        <v/>
      </c>
      <c r="Y16" s="8">
        <f>H16+L16+Q16+U16</f>
        <v/>
      </c>
      <c r="Z16" s="8">
        <f>I16+N16+R16+V16</f>
        <v/>
      </c>
      <c r="AA16" s="8">
        <f>Z16-Y16</f>
        <v/>
      </c>
      <c r="AB16" s="9">
        <f>IF(Y16=0,"",Z16/Y16)</f>
        <v/>
      </c>
    </row>
    <row r="17">
      <c r="A17" s="7" t="inlineStr">
        <is>
          <t>الرسوم والتراخيص</t>
        </is>
      </c>
      <c r="B17" s="7" t="inlineStr">
        <is>
          <t>11452512</t>
        </is>
      </c>
      <c r="C17" s="7" t="inlineStr">
        <is>
          <t>ايرادات لوحات المحلات</t>
        </is>
      </c>
      <c r="D17" s="8" t="n">
        <v>194063368.36</v>
      </c>
      <c r="E17" s="8" t="n">
        <v>174065059.34</v>
      </c>
      <c r="F17" s="8">
        <f>E17-D17</f>
        <v/>
      </c>
      <c r="G17" s="9">
        <f>IF(D17=0,"",E17/D17)</f>
        <v/>
      </c>
      <c r="H17" s="8" t="n">
        <v>23511976.42</v>
      </c>
      <c r="I17" s="8" t="n">
        <v>20830708.33</v>
      </c>
      <c r="J17" s="8">
        <f>I17-H17</f>
        <v/>
      </c>
      <c r="K17" s="9">
        <f>IF(H17=0,"",I17/H17)</f>
        <v/>
      </c>
      <c r="L17" s="8" t="n">
        <v>21887337.58</v>
      </c>
      <c r="M17" s="8" t="n">
        <v>10443752.94</v>
      </c>
      <c r="N17" s="8" t="n">
        <v>17387315.02</v>
      </c>
      <c r="O17" s="8">
        <f>N17-L17</f>
        <v/>
      </c>
      <c r="P17" s="9">
        <f>IF(L17=0,"",N17/L17)</f>
        <v/>
      </c>
      <c r="Q17" s="8" t="n">
        <v>13388655.95</v>
      </c>
      <c r="R17" s="8" t="n">
        <v>14168809.72</v>
      </c>
      <c r="S17" s="8">
        <f>R17-Q17</f>
        <v/>
      </c>
      <c r="T17" s="9">
        <f>IF(Q17=0,"",R17/Q17)</f>
        <v/>
      </c>
      <c r="U17" s="8" t="n">
        <v>18892122.62</v>
      </c>
      <c r="V17" s="8" t="n">
        <v>19809151.24</v>
      </c>
      <c r="W17" s="8">
        <f>V17-U17</f>
        <v/>
      </c>
      <c r="X17" s="9">
        <f>IF(U17=0,"",V17/U17)</f>
        <v/>
      </c>
      <c r="Y17" s="8">
        <f>H17+L17+Q17+U17</f>
        <v/>
      </c>
      <c r="Z17" s="8">
        <f>I17+N17+R17+V17</f>
        <v/>
      </c>
      <c r="AA17" s="8">
        <f>Z17-Y17</f>
        <v/>
      </c>
      <c r="AB17" s="9">
        <f>IF(Y17=0,"",Z17/Y17)</f>
        <v/>
      </c>
    </row>
    <row r="18">
      <c r="A18" s="7" t="inlineStr">
        <is>
          <t>الرسوم والتراخيص</t>
        </is>
      </c>
      <c r="B18" s="7" t="inlineStr">
        <is>
          <t>142113</t>
        </is>
      </c>
      <c r="C18" s="7" t="inlineStr">
        <is>
          <t>ايرادات  اللوحات الدعائية</t>
        </is>
      </c>
      <c r="D18" s="8" t="n">
        <v>68866930.05</v>
      </c>
      <c r="E18" s="8" t="n">
        <v>122668498.99</v>
      </c>
      <c r="F18" s="8">
        <f>E18-D18</f>
        <v/>
      </c>
      <c r="G18" s="9">
        <f>IF(D18=0,"",E18/D18)</f>
        <v/>
      </c>
      <c r="H18" s="8" t="n">
        <v>7319209.81</v>
      </c>
      <c r="I18" s="8" t="n">
        <v>6232151.9</v>
      </c>
      <c r="J18" s="8">
        <f>I18-H18</f>
        <v/>
      </c>
      <c r="K18" s="9">
        <f>IF(H18=0,"",I18/H18)</f>
        <v/>
      </c>
      <c r="L18" s="8" t="n">
        <v>6925446.95</v>
      </c>
      <c r="M18" s="8" t="n">
        <v>2451891.69</v>
      </c>
      <c r="N18" s="8" t="n">
        <v>5761360.09</v>
      </c>
      <c r="O18" s="8">
        <f>N18-L18</f>
        <v/>
      </c>
      <c r="P18" s="9">
        <f>IF(L18=0,"",N18/L18)</f>
        <v/>
      </c>
      <c r="Q18" s="8" t="n">
        <v>7021788.87</v>
      </c>
      <c r="R18" s="8" t="n">
        <v>5801749.14</v>
      </c>
      <c r="S18" s="8">
        <f>R18-Q18</f>
        <v/>
      </c>
      <c r="T18" s="9">
        <f>IF(Q18=0,"",R18/Q18)</f>
        <v/>
      </c>
      <c r="U18" s="8" t="n">
        <v>7262073.52</v>
      </c>
      <c r="V18" s="8" t="n">
        <v>6672448.11</v>
      </c>
      <c r="W18" s="8">
        <f>V18-U18</f>
        <v/>
      </c>
      <c r="X18" s="9">
        <f>IF(U18=0,"",V18/U18)</f>
        <v/>
      </c>
      <c r="Y18" s="8">
        <f>H18+L18+Q18+U18</f>
        <v/>
      </c>
      <c r="Z18" s="8">
        <f>I18+N18+R18+V18</f>
        <v/>
      </c>
      <c r="AA18" s="8">
        <f>Z18-Y18</f>
        <v/>
      </c>
      <c r="AB18" s="9">
        <f>IF(Y18=0,"",Z18/Y18)</f>
        <v/>
      </c>
    </row>
    <row r="19">
      <c r="A19" s="7" t="inlineStr">
        <is>
          <t>الرسوم والتراخيص</t>
        </is>
      </c>
      <c r="B19" s="7" t="inlineStr">
        <is>
          <t>1421909</t>
        </is>
      </c>
      <c r="C19" s="7" t="inlineStr">
        <is>
          <t>جمع النفايات</t>
        </is>
      </c>
      <c r="D19" s="8" t="n">
        <v>76787574.65000001</v>
      </c>
      <c r="E19" s="8" t="n">
        <v>72230227.43000001</v>
      </c>
      <c r="F19" s="8">
        <f>E19-D19</f>
        <v/>
      </c>
      <c r="G19" s="9">
        <f>IF(D19=0,"",E19/D19)</f>
        <v/>
      </c>
      <c r="H19" s="8" t="n">
        <v>10063795.27</v>
      </c>
      <c r="I19" s="8" t="n">
        <v>7787266.24</v>
      </c>
      <c r="J19" s="8">
        <f>I19-H19</f>
        <v/>
      </c>
      <c r="K19" s="9">
        <f>IF(H19=0,"",I19/H19)</f>
        <v/>
      </c>
      <c r="L19" s="8" t="n">
        <v>9414543.6</v>
      </c>
      <c r="M19" s="8" t="n">
        <v>3922507.01</v>
      </c>
      <c r="N19" s="8" t="n">
        <v>6611666.54</v>
      </c>
      <c r="O19" s="8">
        <f>N19-L19</f>
        <v/>
      </c>
      <c r="P19" s="9">
        <f>IF(L19=0,"",N19/L19)</f>
        <v/>
      </c>
      <c r="Q19" s="8" t="n">
        <v>6515033.17</v>
      </c>
      <c r="R19" s="8" t="n">
        <v>5425115.7</v>
      </c>
      <c r="S19" s="8">
        <f>R19-Q19</f>
        <v/>
      </c>
      <c r="T19" s="9">
        <f>IF(Q19=0,"",R19/Q19)</f>
        <v/>
      </c>
      <c r="U19" s="8" t="n">
        <v>5125605.45</v>
      </c>
      <c r="V19" s="8" t="n">
        <v>6492976.78</v>
      </c>
      <c r="W19" s="8">
        <f>V19-U19</f>
        <v/>
      </c>
      <c r="X19" s="9">
        <f>IF(U19=0,"",V19/U19)</f>
        <v/>
      </c>
      <c r="Y19" s="8">
        <f>H19+L19+Q19+U19</f>
        <v/>
      </c>
      <c r="Z19" s="8">
        <f>I19+N19+R19+V19</f>
        <v/>
      </c>
      <c r="AA19" s="8">
        <f>Z19-Y19</f>
        <v/>
      </c>
      <c r="AB19" s="9">
        <f>IF(Y19=0,"",Z19/Y19)</f>
        <v/>
      </c>
    </row>
    <row r="20">
      <c r="A20" s="7" t="inlineStr">
        <is>
          <t>الرسوم والتراخيص</t>
        </is>
      </c>
      <c r="B20" s="7" t="inlineStr">
        <is>
          <t>11452108</t>
        </is>
      </c>
      <c r="C20" s="7" t="inlineStr">
        <is>
          <t>ايراد اصدار القرارات المساحية - أمانة منطقة الرياض</t>
        </is>
      </c>
      <c r="D20" s="8" t="n">
        <v>22711951.97</v>
      </c>
      <c r="E20" s="8" t="n">
        <v>31027927.24</v>
      </c>
      <c r="F20" s="8">
        <f>E20-D20</f>
        <v/>
      </c>
      <c r="G20" s="9">
        <f>IF(D20=0,"",E20/D20)</f>
        <v/>
      </c>
      <c r="H20" s="8" t="n">
        <v>2558581.87</v>
      </c>
      <c r="I20" s="8" t="n">
        <v>4798828.02</v>
      </c>
      <c r="J20" s="8">
        <f>I20-H20</f>
        <v/>
      </c>
      <c r="K20" s="9">
        <f>IF(H20=0,"",I20/H20)</f>
        <v/>
      </c>
      <c r="L20" s="8" t="n">
        <v>2226695.76</v>
      </c>
      <c r="M20" s="8" t="n">
        <v>2067255.85</v>
      </c>
      <c r="N20" s="8" t="n">
        <v>2067255.85</v>
      </c>
      <c r="O20" s="8">
        <f>N20-L20</f>
        <v/>
      </c>
      <c r="P20" s="9">
        <f>IF(L20=0,"",N20/L20)</f>
        <v/>
      </c>
      <c r="Q20" s="8" t="n">
        <v>2909846.24</v>
      </c>
      <c r="R20" s="8" t="n">
        <v>706748.34</v>
      </c>
      <c r="S20" s="8">
        <f>R20-Q20</f>
        <v/>
      </c>
      <c r="T20" s="9">
        <f>IF(Q20=0,"",R20/Q20)</f>
        <v/>
      </c>
      <c r="U20" s="8" t="n">
        <v>2950894.62</v>
      </c>
      <c r="V20" s="8" t="n">
        <v>977589.9300000001</v>
      </c>
      <c r="W20" s="8">
        <f>V20-U20</f>
        <v/>
      </c>
      <c r="X20" s="9">
        <f>IF(U20=0,"",V20/U20)</f>
        <v/>
      </c>
      <c r="Y20" s="8">
        <f>H20+L20+Q20+U20</f>
        <v/>
      </c>
      <c r="Z20" s="8">
        <f>I20+N20+R20+V20</f>
        <v/>
      </c>
      <c r="AA20" s="8">
        <f>Z20-Y20</f>
        <v/>
      </c>
      <c r="AB20" s="9">
        <f>IF(Y20=0,"",Z20/Y20)</f>
        <v/>
      </c>
    </row>
    <row r="21">
      <c r="A21" s="7" t="inlineStr">
        <is>
          <t>الرسوم والتراخيص</t>
        </is>
      </c>
      <c r="B21" s="7" t="inlineStr">
        <is>
          <t>1422108</t>
        </is>
      </c>
      <c r="C21" s="7" t="inlineStr">
        <is>
          <t>الشهادات الصحية</t>
        </is>
      </c>
      <c r="D21" s="8" t="n">
        <v>16790788.29</v>
      </c>
      <c r="E21" s="8" t="n">
        <v>17609402.19</v>
      </c>
      <c r="F21" s="8">
        <f>E21-D21</f>
        <v/>
      </c>
      <c r="G21" s="9">
        <f>IF(D21=0,"",E21/D21)</f>
        <v/>
      </c>
      <c r="H21" s="8" t="n">
        <v>1809193.03</v>
      </c>
      <c r="I21" s="8" t="n">
        <v>1502280</v>
      </c>
      <c r="J21" s="8">
        <f>I21-H21</f>
        <v/>
      </c>
      <c r="K21" s="9">
        <f>IF(H21=0,"",I21/H21)</f>
        <v/>
      </c>
      <c r="L21" s="8" t="n">
        <v>1100942.4</v>
      </c>
      <c r="M21" s="8" t="n">
        <v>2567043.91</v>
      </c>
      <c r="N21" s="8" t="n">
        <v>2567043.91</v>
      </c>
      <c r="O21" s="8">
        <f>N21-L21</f>
        <v/>
      </c>
      <c r="P21" s="9">
        <f>IF(L21=0,"",N21/L21)</f>
        <v/>
      </c>
      <c r="Q21" s="8" t="n">
        <v>1662305.66</v>
      </c>
      <c r="R21" s="8" t="n">
        <v>978540.89</v>
      </c>
      <c r="S21" s="8">
        <f>R21-Q21</f>
        <v/>
      </c>
      <c r="T21" s="9">
        <f>IF(Q21=0,"",R21/Q21)</f>
        <v/>
      </c>
      <c r="U21" s="8" t="n">
        <v>1567129.26</v>
      </c>
      <c r="V21" s="8" t="n">
        <v>887479.11</v>
      </c>
      <c r="W21" s="8">
        <f>V21-U21</f>
        <v/>
      </c>
      <c r="X21" s="9">
        <f>IF(U21=0,"",V21/U21)</f>
        <v/>
      </c>
      <c r="Y21" s="8">
        <f>H21+L21+Q21+U21</f>
        <v/>
      </c>
      <c r="Z21" s="8">
        <f>I21+N21+R21+V21</f>
        <v/>
      </c>
      <c r="AA21" s="8">
        <f>Z21-Y21</f>
        <v/>
      </c>
      <c r="AB21" s="9">
        <f>IF(Y21=0,"",Z21/Y21)</f>
        <v/>
      </c>
    </row>
    <row r="22">
      <c r="A22" s="7" t="inlineStr">
        <is>
          <t>الرسوم والتراخيص</t>
        </is>
      </c>
      <c r="B22" s="7" t="inlineStr">
        <is>
          <t>11452111</t>
        </is>
      </c>
      <c r="C22" s="7" t="inlineStr">
        <is>
          <t>المقابل المالي للسماح للأنشطة التجارية بالعمل (24) ساعة</t>
        </is>
      </c>
      <c r="D22" s="8" t="n">
        <v>5828607.12</v>
      </c>
      <c r="E22" s="8" t="n">
        <v>11389959.41</v>
      </c>
      <c r="F22" s="8">
        <f>E22-D22</f>
        <v/>
      </c>
      <c r="G22" s="9">
        <f>IF(D22=0,"",E22/D22)</f>
        <v/>
      </c>
      <c r="H22" s="8" t="n">
        <v>553551.48</v>
      </c>
      <c r="I22" s="8" t="n">
        <v>1445774.78</v>
      </c>
      <c r="J22" s="8">
        <f>I22-H22</f>
        <v/>
      </c>
      <c r="K22" s="9">
        <f>IF(H22=0,"",I22/H22)</f>
        <v/>
      </c>
      <c r="L22" s="8" t="n">
        <v>469447.53</v>
      </c>
      <c r="M22" s="8" t="n">
        <v>990178.5</v>
      </c>
      <c r="N22" s="8" t="n">
        <v>990178.5</v>
      </c>
      <c r="O22" s="8">
        <f>N22-L22</f>
        <v/>
      </c>
      <c r="P22" s="9">
        <f>IF(L22=0,"",N22/L22)</f>
        <v/>
      </c>
      <c r="Q22" s="8" t="n">
        <v>395145.64</v>
      </c>
      <c r="R22" s="8" t="n">
        <v>388788.53</v>
      </c>
      <c r="S22" s="8">
        <f>R22-Q22</f>
        <v/>
      </c>
      <c r="T22" s="9">
        <f>IF(Q22=0,"",R22/Q22)</f>
        <v/>
      </c>
      <c r="U22" s="8" t="n">
        <v>411424.61</v>
      </c>
      <c r="V22" s="8" t="n">
        <v>388788.53</v>
      </c>
      <c r="W22" s="8">
        <f>V22-U22</f>
        <v/>
      </c>
      <c r="X22" s="9">
        <f>IF(U22=0,"",V22/U22)</f>
        <v/>
      </c>
      <c r="Y22" s="8">
        <f>H22+L22+Q22+U22</f>
        <v/>
      </c>
      <c r="Z22" s="8">
        <f>I22+N22+R22+V22</f>
        <v/>
      </c>
      <c r="AA22" s="8">
        <f>Z22-Y22</f>
        <v/>
      </c>
      <c r="AB22" s="9">
        <f>IF(Y22=0,"",Z22/Y22)</f>
        <v/>
      </c>
    </row>
    <row r="23">
      <c r="A23" s="7" t="inlineStr">
        <is>
          <t>الرسوم والتراخيص</t>
        </is>
      </c>
      <c r="B23" s="7" t="inlineStr">
        <is>
          <t>1422109</t>
        </is>
      </c>
      <c r="C23" s="7" t="inlineStr">
        <is>
          <t>ايرادات  الكشفية</t>
        </is>
      </c>
      <c r="D23" s="8" t="n">
        <v>8356610.39</v>
      </c>
      <c r="E23" s="8" t="n">
        <v>5723189.05</v>
      </c>
      <c r="F23" s="8">
        <f>E23-D23</f>
        <v/>
      </c>
      <c r="G23" s="9">
        <f>IF(D23=0,"",E23/D23)</f>
        <v/>
      </c>
      <c r="H23" s="8" t="n">
        <v>822366.5</v>
      </c>
      <c r="I23" s="8" t="n">
        <v>629579.8</v>
      </c>
      <c r="J23" s="8">
        <f>I23-H23</f>
        <v/>
      </c>
      <c r="K23" s="9">
        <f>IF(H23=0,"",I23/H23)</f>
        <v/>
      </c>
      <c r="L23" s="8" t="n">
        <v>991297.6899999999</v>
      </c>
      <c r="M23" s="8" t="n">
        <v>330988.56</v>
      </c>
      <c r="N23" s="8" t="n">
        <v>541910.1</v>
      </c>
      <c r="O23" s="8">
        <f>N23-L23</f>
        <v/>
      </c>
      <c r="P23" s="9">
        <f>IF(L23=0,"",N23/L23)</f>
        <v/>
      </c>
      <c r="Q23" s="8" t="n">
        <v>335310.58</v>
      </c>
      <c r="R23" s="8" t="n">
        <v>527370.14</v>
      </c>
      <c r="S23" s="8">
        <f>R23-Q23</f>
        <v/>
      </c>
      <c r="T23" s="9">
        <f>IF(Q23=0,"",R23/Q23)</f>
        <v/>
      </c>
      <c r="U23" s="8" t="n">
        <v>395404.39</v>
      </c>
      <c r="V23" s="8" t="n">
        <v>541262.36</v>
      </c>
      <c r="W23" s="8">
        <f>V23-U23</f>
        <v/>
      </c>
      <c r="X23" s="9">
        <f>IF(U23=0,"",V23/U23)</f>
        <v/>
      </c>
      <c r="Y23" s="8">
        <f>H23+L23+Q23+U23</f>
        <v/>
      </c>
      <c r="Z23" s="8">
        <f>I23+N23+R23+V23</f>
        <v/>
      </c>
      <c r="AA23" s="8">
        <f>Z23-Y23</f>
        <v/>
      </c>
      <c r="AB23" s="9">
        <f>IF(Y23=0,"",Z23/Y23)</f>
        <v/>
      </c>
    </row>
    <row r="24">
      <c r="A24" s="7" t="inlineStr">
        <is>
          <t>الرسوم والتراخيص</t>
        </is>
      </c>
      <c r="B24" s="7" t="inlineStr">
        <is>
          <t>1421910</t>
        </is>
      </c>
      <c r="C24" s="7" t="inlineStr">
        <is>
          <t>اصدار تراخيص اشغال الارصفة العامة و الطرق</t>
        </is>
      </c>
      <c r="D24" s="8" t="n">
        <v>3580052.43</v>
      </c>
      <c r="E24" s="8" t="n">
        <v>3581598.32</v>
      </c>
      <c r="F24" s="8">
        <f>E24-D24</f>
        <v/>
      </c>
      <c r="G24" s="9">
        <f>IF(D24=0,"",E24/D24)</f>
        <v/>
      </c>
      <c r="H24" s="8" t="n">
        <v>505662.12</v>
      </c>
      <c r="I24" s="8" t="n">
        <v>362277.9</v>
      </c>
      <c r="J24" s="8">
        <f>I24-H24</f>
        <v/>
      </c>
      <c r="K24" s="9">
        <f>IF(H24=0,"",I24/H24)</f>
        <v/>
      </c>
      <c r="L24" s="8" t="n">
        <v>399206.5</v>
      </c>
      <c r="M24" s="8" t="n">
        <v>134647.24</v>
      </c>
      <c r="N24" s="8" t="n">
        <v>214841.4</v>
      </c>
      <c r="O24" s="8">
        <f>N24-L24</f>
        <v/>
      </c>
      <c r="P24" s="9">
        <f>IF(L24=0,"",N24/L24)</f>
        <v/>
      </c>
      <c r="Q24" s="8" t="n">
        <v>241075.56</v>
      </c>
      <c r="R24" s="8" t="n">
        <v>275543.1</v>
      </c>
      <c r="S24" s="8">
        <f>R24-Q24</f>
        <v/>
      </c>
      <c r="T24" s="9">
        <f>IF(Q24=0,"",R24/Q24)</f>
        <v/>
      </c>
      <c r="U24" s="8" t="n">
        <v>320808.69</v>
      </c>
      <c r="V24" s="8" t="n">
        <v>227640.06</v>
      </c>
      <c r="W24" s="8">
        <f>V24-U24</f>
        <v/>
      </c>
      <c r="X24" s="9">
        <f>IF(U24=0,"",V24/U24)</f>
        <v/>
      </c>
      <c r="Y24" s="8">
        <f>H24+L24+Q24+U24</f>
        <v/>
      </c>
      <c r="Z24" s="8">
        <f>I24+N24+R24+V24</f>
        <v/>
      </c>
      <c r="AA24" s="8">
        <f>Z24-Y24</f>
        <v/>
      </c>
      <c r="AB24" s="9">
        <f>IF(Y24=0,"",Z24/Y24)</f>
        <v/>
      </c>
    </row>
    <row r="25">
      <c r="A25" s="7" t="inlineStr">
        <is>
          <t>الرسوم والتراخيص</t>
        </is>
      </c>
      <c r="B25" s="7" t="inlineStr">
        <is>
          <t>11452107</t>
        </is>
      </c>
      <c r="C25" s="7" t="inlineStr">
        <is>
          <t>اصدار التراخيص بتأسيس أو تشغيل الصراف الآلي</t>
        </is>
      </c>
      <c r="D25" s="8" t="n">
        <v>1868556.75</v>
      </c>
      <c r="E25" s="8" t="n">
        <v>2750380.73</v>
      </c>
      <c r="F25" s="8">
        <f>E25-D25</f>
        <v/>
      </c>
      <c r="G25" s="9">
        <f>IF(D25=0,"",E25/D25)</f>
        <v/>
      </c>
      <c r="H25" s="8" t="n">
        <v>219460.02</v>
      </c>
      <c r="I25" s="8" t="n">
        <v>32000</v>
      </c>
      <c r="J25" s="8">
        <f>I25-H25</f>
        <v/>
      </c>
      <c r="K25" s="9">
        <f>IF(H25=0,"",I25/H25)</f>
        <v/>
      </c>
      <c r="L25" s="8" t="n">
        <v>202820.15</v>
      </c>
      <c r="M25" s="8" t="n">
        <v>57100</v>
      </c>
      <c r="N25" s="8" t="n">
        <v>57100</v>
      </c>
      <c r="O25" s="8">
        <f>N25-L25</f>
        <v/>
      </c>
      <c r="P25" s="9">
        <f>IF(L25=0,"",N25/L25)</f>
        <v/>
      </c>
      <c r="Q25" s="8" t="n">
        <v>222880.38</v>
      </c>
      <c r="R25" s="8" t="n">
        <v>2724</v>
      </c>
      <c r="S25" s="8">
        <f>R25-Q25</f>
        <v/>
      </c>
      <c r="T25" s="9">
        <f>IF(Q25=0,"",R25/Q25)</f>
        <v/>
      </c>
      <c r="U25" s="8" t="n">
        <v>327327.8</v>
      </c>
      <c r="V25" s="8" t="n">
        <v>7276</v>
      </c>
      <c r="W25" s="8">
        <f>V25-U25</f>
        <v/>
      </c>
      <c r="X25" s="9">
        <f>IF(U25=0,"",V25/U25)</f>
        <v/>
      </c>
      <c r="Y25" s="8">
        <f>H25+L25+Q25+U25</f>
        <v/>
      </c>
      <c r="Z25" s="8">
        <f>I25+N25+R25+V25</f>
        <v/>
      </c>
      <c r="AA25" s="8">
        <f>Z25-Y25</f>
        <v/>
      </c>
      <c r="AB25" s="9">
        <f>IF(Y25=0,"",Z25/Y25)</f>
        <v/>
      </c>
    </row>
    <row r="26">
      <c r="A26" s="7" t="inlineStr">
        <is>
          <t>الرسوم والتراخيص</t>
        </is>
      </c>
      <c r="B26" s="7" t="inlineStr">
        <is>
          <t>11452106</t>
        </is>
      </c>
      <c r="C26" s="7" t="inlineStr">
        <is>
          <t>اصدار التراخيص بتأسيس أو تشغيل ابراج الاتصالات</t>
        </is>
      </c>
      <c r="D26" s="8" t="n">
        <v>5585920.85</v>
      </c>
      <c r="E26" s="8" t="n">
        <v>1363801.03</v>
      </c>
      <c r="F26" s="8">
        <f>E26-D26</f>
        <v/>
      </c>
      <c r="G26" s="9">
        <f>IF(D26=0,"",E26/D26)</f>
        <v/>
      </c>
      <c r="H26" s="8" t="n">
        <v>876071.65</v>
      </c>
      <c r="I26" s="8" t="n">
        <v>13800</v>
      </c>
      <c r="J26" s="8">
        <f>I26-H26</f>
        <v/>
      </c>
      <c r="K26" s="9">
        <f>IF(H26=0,"",I26/H26)</f>
        <v/>
      </c>
      <c r="L26" s="8" t="n">
        <v>759323.62</v>
      </c>
      <c r="M26" s="8" t="n">
        <v>56000</v>
      </c>
      <c r="N26" s="8" t="n">
        <v>56000</v>
      </c>
      <c r="O26" s="8">
        <f>N26-L26</f>
        <v/>
      </c>
      <c r="P26" s="9">
        <f>IF(L26=0,"",N26/L26)</f>
        <v/>
      </c>
      <c r="Q26" s="8" t="n">
        <v>685167.54</v>
      </c>
      <c r="R26" s="8" t="n">
        <v>67612.34</v>
      </c>
      <c r="S26" s="8">
        <f>R26-Q26</f>
        <v/>
      </c>
      <c r="T26" s="9">
        <f>IF(Q26=0,"",R26/Q26)</f>
        <v/>
      </c>
      <c r="U26" s="8" t="n">
        <v>572770.48</v>
      </c>
      <c r="V26" s="8" t="n">
        <v>67937.66</v>
      </c>
      <c r="W26" s="8">
        <f>V26-U26</f>
        <v/>
      </c>
      <c r="X26" s="9">
        <f>IF(U26=0,"",V26/U26)</f>
        <v/>
      </c>
      <c r="Y26" s="8">
        <f>H26+L26+Q26+U26</f>
        <v/>
      </c>
      <c r="Z26" s="8">
        <f>I26+N26+R26+V26</f>
        <v/>
      </c>
      <c r="AA26" s="8">
        <f>Z26-Y26</f>
        <v/>
      </c>
      <c r="AB26" s="9">
        <f>IF(Y26=0,"",Z26/Y26)</f>
        <v/>
      </c>
    </row>
    <row r="27">
      <c r="A27" s="7" t="inlineStr">
        <is>
          <t>الرسوم والتراخيص</t>
        </is>
      </c>
      <c r="B27" s="7" t="inlineStr">
        <is>
          <t>11452110</t>
        </is>
      </c>
      <c r="C27" s="7" t="inlineStr">
        <is>
          <t>إصدار تراخيص إستخدام أملاك خاصة لإقامة فعاليات</t>
        </is>
      </c>
      <c r="D27" s="8" t="n">
        <v>1035362.18</v>
      </c>
      <c r="E27" s="8" t="n">
        <v>581755.84</v>
      </c>
      <c r="F27" s="8">
        <f>E27-D27</f>
        <v/>
      </c>
      <c r="G27" s="9">
        <f>IF(D27=0,"",E27/D27)</f>
        <v/>
      </c>
      <c r="H27" s="8" t="n">
        <v>151946.61</v>
      </c>
      <c r="I27" s="8" t="n">
        <v>20794.06</v>
      </c>
      <c r="J27" s="8">
        <f>I27-H27</f>
        <v/>
      </c>
      <c r="K27" s="9">
        <f>IF(H27=0,"",I27/H27)</f>
        <v/>
      </c>
      <c r="L27" s="8" t="n">
        <v>99448.75999999999</v>
      </c>
      <c r="M27" s="8" t="n">
        <v>34158.14</v>
      </c>
      <c r="N27" s="8" t="n">
        <v>34158.14</v>
      </c>
      <c r="O27" s="8">
        <f>N27-L27</f>
        <v/>
      </c>
      <c r="P27" s="9">
        <f>IF(L27=0,"",N27/L27)</f>
        <v/>
      </c>
      <c r="Q27" s="8" t="n">
        <v>88463.77</v>
      </c>
      <c r="R27" s="8" t="n">
        <v>74763.73</v>
      </c>
      <c r="S27" s="8">
        <f>R27-Q27</f>
        <v/>
      </c>
      <c r="T27" s="9">
        <f>IF(Q27=0,"",R27/Q27)</f>
        <v/>
      </c>
      <c r="U27" s="8" t="n">
        <v>146186.3</v>
      </c>
      <c r="V27" s="8" t="n">
        <v>44116.42</v>
      </c>
      <c r="W27" s="8">
        <f>V27-U27</f>
        <v/>
      </c>
      <c r="X27" s="9">
        <f>IF(U27=0,"",V27/U27)</f>
        <v/>
      </c>
      <c r="Y27" s="8">
        <f>H27+L27+Q27+U27</f>
        <v/>
      </c>
      <c r="Z27" s="8">
        <f>I27+N27+R27+V27</f>
        <v/>
      </c>
      <c r="AA27" s="8">
        <f>Z27-Y27</f>
        <v/>
      </c>
      <c r="AB27" s="9">
        <f>IF(Y27=0,"",Z27/Y27)</f>
        <v/>
      </c>
    </row>
    <row r="28">
      <c r="A28" s="7" t="inlineStr">
        <is>
          <t>الرسوم والتراخيص</t>
        </is>
      </c>
      <c r="B28" s="7" t="inlineStr">
        <is>
          <t>1422104</t>
        </is>
      </c>
      <c r="C28" s="7" t="inlineStr">
        <is>
          <t>رسوم وأجور ناتجة من النشاط غير مصنفة أعلاه</t>
        </is>
      </c>
      <c r="D28" s="8" t="n">
        <v>0</v>
      </c>
      <c r="E28" s="8" t="n">
        <v>391830</v>
      </c>
      <c r="F28" s="8">
        <f>E28-D28</f>
        <v/>
      </c>
      <c r="G28" s="9">
        <f>IF(D28=0,"",E28/D28)</f>
        <v/>
      </c>
      <c r="H28" s="8" t="n">
        <v>0</v>
      </c>
      <c r="I28" s="8" t="n">
        <v>0</v>
      </c>
      <c r="J28" s="8">
        <f>I28-H28</f>
        <v/>
      </c>
      <c r="K28" s="9">
        <f>IF(H28=0,"",I28/H28)</f>
        <v/>
      </c>
      <c r="L28" s="8" t="n">
        <v>0</v>
      </c>
      <c r="M28" s="8" t="n">
        <v>0</v>
      </c>
      <c r="N28" s="8" t="n">
        <v>0</v>
      </c>
      <c r="O28" s="8">
        <f>N28-L28</f>
        <v/>
      </c>
      <c r="P28" s="9">
        <f>IF(L28=0,"",N28/L28)</f>
        <v/>
      </c>
      <c r="Q28" s="8" t="n">
        <v>0</v>
      </c>
      <c r="R28" s="8" t="n">
        <v>0</v>
      </c>
      <c r="S28" s="8">
        <f>R28-Q28</f>
        <v/>
      </c>
      <c r="T28" s="9">
        <f>IF(Q28=0,"",R28/Q28)</f>
        <v/>
      </c>
      <c r="U28" s="8" t="n">
        <v>0</v>
      </c>
      <c r="V28" s="8" t="n">
        <v>0</v>
      </c>
      <c r="W28" s="8">
        <f>V28-U28</f>
        <v/>
      </c>
      <c r="X28" s="9">
        <f>IF(U28=0,"",V28/U28)</f>
        <v/>
      </c>
      <c r="Y28" s="8">
        <f>H28+L28+Q28+U28</f>
        <v/>
      </c>
      <c r="Z28" s="8">
        <f>I28+N28+R28+V28</f>
        <v/>
      </c>
      <c r="AA28" s="8">
        <f>Z28-Y28</f>
        <v/>
      </c>
      <c r="AB28" s="9">
        <f>IF(Y28=0,"",Z28/Y28)</f>
        <v/>
      </c>
    </row>
    <row r="29">
      <c r="A29" s="7" t="inlineStr">
        <is>
          <t>الرسوم والتراخيص</t>
        </is>
      </c>
      <c r="B29" s="7" t="inlineStr">
        <is>
          <t>1421907</t>
        </is>
      </c>
      <c r="C29" s="7" t="inlineStr">
        <is>
          <t>إيرادات المخططات</t>
        </is>
      </c>
      <c r="D29" s="8" t="n">
        <v>499531.96</v>
      </c>
      <c r="E29" s="8" t="n">
        <v>5950</v>
      </c>
      <c r="F29" s="8">
        <f>E29-D29</f>
        <v/>
      </c>
      <c r="G29" s="9">
        <f>IF(D29=0,"",E29/D29)</f>
        <v/>
      </c>
      <c r="H29" s="8" t="n">
        <v>52413.24</v>
      </c>
      <c r="I29" s="8" t="n">
        <v>0</v>
      </c>
      <c r="J29" s="8">
        <f>I29-H29</f>
        <v/>
      </c>
      <c r="K29" s="9">
        <f>IF(H29=0,"",I29/H29)</f>
        <v/>
      </c>
      <c r="L29" s="8" t="n">
        <v>55366.58</v>
      </c>
      <c r="M29" s="8" t="n">
        <v>0</v>
      </c>
      <c r="N29" s="8" t="n">
        <v>0</v>
      </c>
      <c r="O29" s="8">
        <f>N29-L29</f>
        <v/>
      </c>
      <c r="P29" s="9">
        <f>IF(L29=0,"",N29/L29)</f>
        <v/>
      </c>
      <c r="Q29" s="8" t="n">
        <v>32730.78</v>
      </c>
      <c r="R29" s="8" t="n">
        <v>0</v>
      </c>
      <c r="S29" s="8">
        <f>R29-Q29</f>
        <v/>
      </c>
      <c r="T29" s="9">
        <f>IF(Q29=0,"",R29/Q29)</f>
        <v/>
      </c>
      <c r="U29" s="8" t="n">
        <v>26407.51</v>
      </c>
      <c r="V29" s="8" t="n">
        <v>0</v>
      </c>
      <c r="W29" s="8">
        <f>V29-U29</f>
        <v/>
      </c>
      <c r="X29" s="9">
        <f>IF(U29=0,"",V29/U29)</f>
        <v/>
      </c>
      <c r="Y29" s="8">
        <f>H29+L29+Q29+U29</f>
        <v/>
      </c>
      <c r="Z29" s="8">
        <f>I29+N29+R29+V29</f>
        <v/>
      </c>
      <c r="AA29" s="8">
        <f>Z29-Y29</f>
        <v/>
      </c>
      <c r="AB29" s="9">
        <f>IF(Y29=0,"",Z29/Y29)</f>
        <v/>
      </c>
    </row>
    <row r="30">
      <c r="A30" s="7" t="inlineStr">
        <is>
          <t>الرسوم والتراخيص</t>
        </is>
      </c>
      <c r="B30" s="7" t="inlineStr">
        <is>
          <t>11452105</t>
        </is>
      </c>
      <c r="C30" s="7" t="inlineStr">
        <is>
          <t>رسوم تراخيص حفر الشوارع</t>
        </is>
      </c>
      <c r="D30" s="8" t="n">
        <v>356658.1</v>
      </c>
      <c r="E30" s="8" t="n">
        <v>1350</v>
      </c>
      <c r="F30" s="8">
        <f>E30-D30</f>
        <v/>
      </c>
      <c r="G30" s="9">
        <f>IF(D30=0,"",E30/D30)</f>
        <v/>
      </c>
      <c r="H30" s="8" t="n">
        <v>31989.46</v>
      </c>
      <c r="I30" s="8" t="n">
        <v>0</v>
      </c>
      <c r="J30" s="8">
        <f>I30-H30</f>
        <v/>
      </c>
      <c r="K30" s="9">
        <f>IF(H30=0,"",I30/H30)</f>
        <v/>
      </c>
      <c r="L30" s="8" t="n">
        <v>32296.3</v>
      </c>
      <c r="M30" s="8" t="n">
        <v>0</v>
      </c>
      <c r="N30" s="8" t="n">
        <v>0</v>
      </c>
      <c r="O30" s="8">
        <f>N30-L30</f>
        <v/>
      </c>
      <c r="P30" s="9">
        <f>IF(L30=0,"",N30/L30)</f>
        <v/>
      </c>
      <c r="Q30" s="8" t="n">
        <v>27957.08</v>
      </c>
      <c r="R30" s="8" t="n">
        <v>0</v>
      </c>
      <c r="S30" s="8">
        <f>R30-Q30</f>
        <v/>
      </c>
      <c r="T30" s="9">
        <f>IF(Q30=0,"",R30/Q30)</f>
        <v/>
      </c>
      <c r="U30" s="8" t="n">
        <v>25146.7</v>
      </c>
      <c r="V30" s="8" t="n">
        <v>0</v>
      </c>
      <c r="W30" s="8">
        <f>V30-U30</f>
        <v/>
      </c>
      <c r="X30" s="9">
        <f>IF(U30=0,"",V30/U30)</f>
        <v/>
      </c>
      <c r="Y30" s="8">
        <f>H30+L30+Q30+U30</f>
        <v/>
      </c>
      <c r="Z30" s="8">
        <f>I30+N30+R30+V30</f>
        <v/>
      </c>
      <c r="AA30" s="8">
        <f>Z30-Y30</f>
        <v/>
      </c>
      <c r="AB30" s="9">
        <f>IF(Y30=0,"",Z30/Y30)</f>
        <v/>
      </c>
    </row>
    <row r="31">
      <c r="A31" s="7" t="inlineStr">
        <is>
          <t>الرسوم والتراخيص</t>
        </is>
      </c>
      <c r="B31" s="7" t="inlineStr">
        <is>
          <t>11452109</t>
        </is>
      </c>
      <c r="C31" s="7" t="inlineStr">
        <is>
          <t>اعتماد مخططات التطوير العقاري</t>
        </is>
      </c>
      <c r="D31" s="8" t="n">
        <v>406632.44</v>
      </c>
      <c r="E31" s="8" t="n">
        <v>50</v>
      </c>
      <c r="F31" s="8">
        <f>E31-D31</f>
        <v/>
      </c>
      <c r="G31" s="9">
        <f>IF(D31=0,"",E31/D31)</f>
        <v/>
      </c>
      <c r="H31" s="8" t="n">
        <v>106451.02</v>
      </c>
      <c r="I31" s="8" t="n">
        <v>0</v>
      </c>
      <c r="J31" s="8">
        <f>I31-H31</f>
        <v/>
      </c>
      <c r="K31" s="9">
        <f>IF(H31=0,"",I31/H31)</f>
        <v/>
      </c>
      <c r="L31" s="8" t="n">
        <v>212196.25</v>
      </c>
      <c r="M31" s="8" t="n">
        <v>0</v>
      </c>
      <c r="N31" s="8" t="n">
        <v>800</v>
      </c>
      <c r="O31" s="8">
        <f>N31-L31</f>
        <v/>
      </c>
      <c r="P31" s="9">
        <f>IF(L31=0,"",N31/L31)</f>
        <v/>
      </c>
      <c r="Q31" s="8" t="n">
        <v>49663.18</v>
      </c>
      <c r="R31" s="8" t="n">
        <v>7.17</v>
      </c>
      <c r="S31" s="8">
        <f>R31-Q31</f>
        <v/>
      </c>
      <c r="T31" s="9">
        <f>IF(Q31=0,"",R31/Q31)</f>
        <v/>
      </c>
      <c r="U31" s="8" t="n">
        <v>185890.8</v>
      </c>
      <c r="V31" s="8" t="n">
        <v>17.83</v>
      </c>
      <c r="W31" s="8">
        <f>V31-U31</f>
        <v/>
      </c>
      <c r="X31" s="9">
        <f>IF(U31=0,"",V31/U31)</f>
        <v/>
      </c>
      <c r="Y31" s="8">
        <f>H31+L31+Q31+U31</f>
        <v/>
      </c>
      <c r="Z31" s="8">
        <f>I31+N31+R31+V31</f>
        <v/>
      </c>
      <c r="AA31" s="8">
        <f>Z31-Y31</f>
        <v/>
      </c>
      <c r="AB31" s="9">
        <f>IF(Y31=0,"",Z31/Y31)</f>
        <v/>
      </c>
    </row>
    <row r="32">
      <c r="A32" s="7" t="inlineStr">
        <is>
          <t>الرسوم والتراخيص</t>
        </is>
      </c>
      <c r="B32" s="7" t="inlineStr">
        <is>
          <t>11452513</t>
        </is>
      </c>
      <c r="C32" s="7" t="inlineStr">
        <is>
          <t>لوحات إرشـادية</t>
        </is>
      </c>
      <c r="D32" s="8" t="n">
        <v>47427</v>
      </c>
      <c r="E32" s="8" t="n">
        <v>600</v>
      </c>
      <c r="F32" s="8">
        <f>E32-D32</f>
        <v/>
      </c>
      <c r="G32" s="9">
        <f>IF(D32=0,"",E32/D32)</f>
        <v/>
      </c>
      <c r="H32" s="8" t="n">
        <v>5106</v>
      </c>
      <c r="I32" s="8" t="n">
        <v>0</v>
      </c>
      <c r="J32" s="8">
        <f>I32-H32</f>
        <v/>
      </c>
      <c r="K32" s="9">
        <f>IF(H32=0,"",I32/H32)</f>
        <v/>
      </c>
      <c r="L32" s="8" t="n">
        <v>5715</v>
      </c>
      <c r="M32" s="8" t="n">
        <v>0</v>
      </c>
      <c r="N32" s="8" t="n">
        <v>0</v>
      </c>
      <c r="O32" s="8">
        <f>N32-L32</f>
        <v/>
      </c>
      <c r="P32" s="9">
        <f>IF(L32=0,"",N32/L32)</f>
        <v/>
      </c>
      <c r="Q32" s="8" t="n">
        <v>5723</v>
      </c>
      <c r="R32" s="8" t="n">
        <v>0</v>
      </c>
      <c r="S32" s="8">
        <f>R32-Q32</f>
        <v/>
      </c>
      <c r="T32" s="9">
        <f>IF(Q32=0,"",R32/Q32)</f>
        <v/>
      </c>
      <c r="U32" s="8" t="n">
        <v>7794</v>
      </c>
      <c r="V32" s="8" t="n">
        <v>0</v>
      </c>
      <c r="W32" s="8">
        <f>V32-U32</f>
        <v/>
      </c>
      <c r="X32" s="9">
        <f>IF(U32=0,"",V32/U32)</f>
        <v/>
      </c>
      <c r="Y32" s="8">
        <f>H32+L32+Q32+U32</f>
        <v/>
      </c>
      <c r="Z32" s="8">
        <f>I32+N32+R32+V32</f>
        <v/>
      </c>
      <c r="AA32" s="8">
        <f>Z32-Y32</f>
        <v/>
      </c>
      <c r="AB32" s="9">
        <f>IF(Y32=0,"",Z32/Y32)</f>
        <v/>
      </c>
    </row>
    <row r="33">
      <c r="A33" s="4" t="inlineStr">
        <is>
          <t>جزاءات وغرامات</t>
        </is>
      </c>
      <c r="B33" s="4" t="n"/>
      <c r="C33" s="4" t="inlineStr">
        <is>
          <t>إجمالي جزاءات وغرامات</t>
        </is>
      </c>
      <c r="D33" s="5">
        <f>SUM(D34:D37)</f>
        <v/>
      </c>
      <c r="E33" s="5">
        <f>SUM(E34:E37)</f>
        <v/>
      </c>
      <c r="F33" s="5">
        <f>E33-D33</f>
        <v/>
      </c>
      <c r="G33" s="6">
        <f>IF(D33=0,"",E33/D33)</f>
        <v/>
      </c>
      <c r="H33" s="5">
        <f>SUM(H34:H37)</f>
        <v/>
      </c>
      <c r="I33" s="5">
        <f>SUM(I34:I37)</f>
        <v/>
      </c>
      <c r="J33" s="5">
        <f>I33-H33</f>
        <v/>
      </c>
      <c r="K33" s="6">
        <f>IF(H33=0,"",I33/H33)</f>
        <v/>
      </c>
      <c r="L33" s="5">
        <f>SUM(L34:L37)</f>
        <v/>
      </c>
      <c r="M33" s="5">
        <f>SUM(M34:M37)</f>
        <v/>
      </c>
      <c r="N33" s="5">
        <f>SUM(N34:N37)</f>
        <v/>
      </c>
      <c r="O33" s="5">
        <f>N33-L33</f>
        <v/>
      </c>
      <c r="P33" s="6">
        <f>IF(L33=0,"",N33/L33)</f>
        <v/>
      </c>
      <c r="Q33" s="5">
        <f>SUM(Q34:Q37)</f>
        <v/>
      </c>
      <c r="R33" s="5">
        <f>SUM(R34:R37)</f>
        <v/>
      </c>
      <c r="S33" s="5">
        <f>R33-Q33</f>
        <v/>
      </c>
      <c r="T33" s="6">
        <f>IF(Q33=0,"",R33/Q33)</f>
        <v/>
      </c>
      <c r="U33" s="5">
        <f>SUM(U34:U37)</f>
        <v/>
      </c>
      <c r="V33" s="5">
        <f>SUM(V34:V37)</f>
        <v/>
      </c>
      <c r="W33" s="5">
        <f>V33-U33</f>
        <v/>
      </c>
      <c r="X33" s="6">
        <f>IF(U33=0,"",V33/U33)</f>
        <v/>
      </c>
      <c r="Y33" s="5">
        <f>H33+L33+Q33+U33</f>
        <v/>
      </c>
      <c r="Z33" s="5">
        <f>I33+N33+R33+V33</f>
        <v/>
      </c>
      <c r="AA33" s="5">
        <f>Z33-Y33</f>
        <v/>
      </c>
      <c r="AB33" s="6">
        <f>IF(Y33=0,"",Z33/Y33)</f>
        <v/>
      </c>
    </row>
    <row r="34">
      <c r="A34" s="7" t="inlineStr">
        <is>
          <t>جزاءات وغرامات</t>
        </is>
      </c>
      <c r="B34" s="7" t="inlineStr">
        <is>
          <t>1438001</t>
        </is>
      </c>
      <c r="C34" s="7" t="inlineStr">
        <is>
          <t>جزاءات و غرامات مفروضة بموجب أنظمة الجهة</t>
        </is>
      </c>
      <c r="D34" s="8" t="n">
        <v>342711150.14</v>
      </c>
      <c r="E34" s="8" t="n">
        <v>356392222.05</v>
      </c>
      <c r="F34" s="8">
        <f>E34-D34</f>
        <v/>
      </c>
      <c r="G34" s="9">
        <f>IF(D34=0,"",E34/D34)</f>
        <v/>
      </c>
      <c r="H34" s="8" t="n">
        <v>41561367.54</v>
      </c>
      <c r="I34" s="8" t="n">
        <v>37172616</v>
      </c>
      <c r="J34" s="8">
        <f>I34-H34</f>
        <v/>
      </c>
      <c r="K34" s="9">
        <f>IF(H34=0,"",I34/H34)</f>
        <v/>
      </c>
      <c r="L34" s="8" t="n">
        <v>42809498.94</v>
      </c>
      <c r="M34" s="8" t="n">
        <v>33304429</v>
      </c>
      <c r="N34" s="8" t="n">
        <v>33304429</v>
      </c>
      <c r="O34" s="8">
        <f>N34-L34</f>
        <v/>
      </c>
      <c r="P34" s="9">
        <f>IF(L34=0,"",N34/L34)</f>
        <v/>
      </c>
      <c r="Q34" s="8" t="n">
        <v>28537922.26</v>
      </c>
      <c r="R34" s="8" t="n">
        <v>23004237.5</v>
      </c>
      <c r="S34" s="8">
        <f>R34-Q34</f>
        <v/>
      </c>
      <c r="T34" s="9">
        <f>IF(Q34=0,"",R34/Q34)</f>
        <v/>
      </c>
      <c r="U34" s="8" t="n">
        <v>27405164.21</v>
      </c>
      <c r="V34" s="8" t="n">
        <v>25599687.07</v>
      </c>
      <c r="W34" s="8">
        <f>V34-U34</f>
        <v/>
      </c>
      <c r="X34" s="9">
        <f>IF(U34=0,"",V34/U34)</f>
        <v/>
      </c>
      <c r="Y34" s="8">
        <f>H34+L34+Q34+U34</f>
        <v/>
      </c>
      <c r="Z34" s="8">
        <f>I34+N34+R34+V34</f>
        <v/>
      </c>
      <c r="AA34" s="8">
        <f>Z34-Y34</f>
        <v/>
      </c>
      <c r="AB34" s="9">
        <f>IF(Y34=0,"",Z34/Y34)</f>
        <v/>
      </c>
    </row>
    <row r="35">
      <c r="A35" s="7" t="inlineStr">
        <is>
          <t>جزاءات وغرامات</t>
        </is>
      </c>
      <c r="B35" s="7" t="inlineStr">
        <is>
          <t>1439</t>
        </is>
      </c>
      <c r="C35" s="7" t="inlineStr">
        <is>
          <t>ايرادات  مبيعات  ناتجه من النشاط غير مصنفة</t>
        </is>
      </c>
      <c r="D35" s="8" t="n">
        <v>23519477.4</v>
      </c>
      <c r="E35" s="8" t="n">
        <v>179433194.45</v>
      </c>
      <c r="F35" s="8">
        <f>E35-D35</f>
        <v/>
      </c>
      <c r="G35" s="9">
        <f>IF(D35=0,"",E35/D35)</f>
        <v/>
      </c>
      <c r="H35" s="8" t="n">
        <v>1719083.1</v>
      </c>
      <c r="I35" s="8" t="n">
        <v>0</v>
      </c>
      <c r="J35" s="8">
        <f>I35-H35</f>
        <v/>
      </c>
      <c r="K35" s="9">
        <f>IF(H35=0,"",I35/H35)</f>
        <v/>
      </c>
      <c r="L35" s="8" t="n">
        <v>153424.25</v>
      </c>
      <c r="M35" s="8" t="n">
        <v>0</v>
      </c>
      <c r="N35" s="8" t="n">
        <v>0</v>
      </c>
      <c r="O35" s="8">
        <f>N35-L35</f>
        <v/>
      </c>
      <c r="P35" s="9">
        <f>IF(L35=0,"",N35/L35)</f>
        <v/>
      </c>
      <c r="Q35" s="8" t="n">
        <v>3380581.8</v>
      </c>
      <c r="R35" s="8" t="n">
        <v>6381.2</v>
      </c>
      <c r="S35" s="8">
        <f>R35-Q35</f>
        <v/>
      </c>
      <c r="T35" s="9">
        <f>IF(Q35=0,"",R35/Q35)</f>
        <v/>
      </c>
      <c r="U35" s="8" t="n">
        <v>2982608.6</v>
      </c>
      <c r="V35" s="8" t="n">
        <v>618.8</v>
      </c>
      <c r="W35" s="8">
        <f>V35-U35</f>
        <v/>
      </c>
      <c r="X35" s="9">
        <f>IF(U35=0,"",V35/U35)</f>
        <v/>
      </c>
      <c r="Y35" s="8">
        <f>H35+L35+Q35+U35</f>
        <v/>
      </c>
      <c r="Z35" s="8">
        <f>I35+N35+R35+V35</f>
        <v/>
      </c>
      <c r="AA35" s="8">
        <f>Z35-Y35</f>
        <v/>
      </c>
      <c r="AB35" s="9">
        <f>IF(Y35=0,"",Z35/Y35)</f>
        <v/>
      </c>
    </row>
    <row r="36">
      <c r="A36" s="7" t="inlineStr">
        <is>
          <t>جزاءات وغرامات</t>
        </is>
      </c>
      <c r="B36" s="7" t="inlineStr">
        <is>
          <t>1431</t>
        </is>
      </c>
      <c r="C36" s="7" t="inlineStr">
        <is>
          <t>الجزاءات والغرامات</t>
        </is>
      </c>
      <c r="D36" s="8" t="n">
        <v>60502457</v>
      </c>
      <c r="E36" s="8" t="n">
        <v>103169485.22</v>
      </c>
      <c r="F36" s="8">
        <f>E36-D36</f>
        <v/>
      </c>
      <c r="G36" s="9">
        <f>IF(D36=0,"",E36/D36)</f>
        <v/>
      </c>
      <c r="H36" s="8" t="n">
        <v>7500273</v>
      </c>
      <c r="I36" s="8" t="n">
        <v>13269393.49</v>
      </c>
      <c r="J36" s="8">
        <f>I36-H36</f>
        <v/>
      </c>
      <c r="K36" s="9">
        <f>IF(H36=0,"",I36/H36)</f>
        <v/>
      </c>
      <c r="L36" s="8" t="n">
        <v>7500273</v>
      </c>
      <c r="M36" s="8" t="n">
        <v>0</v>
      </c>
      <c r="N36" s="8" t="n">
        <v>0</v>
      </c>
      <c r="O36" s="8">
        <f>N36-L36</f>
        <v/>
      </c>
      <c r="P36" s="9">
        <f>IF(L36=0,"",N36/L36)</f>
        <v/>
      </c>
      <c r="Q36" s="8" t="n">
        <v>7500273</v>
      </c>
      <c r="R36" s="8" t="n">
        <v>0</v>
      </c>
      <c r="S36" s="8">
        <f>R36-Q36</f>
        <v/>
      </c>
      <c r="T36" s="9">
        <f>IF(Q36=0,"",R36/Q36)</f>
        <v/>
      </c>
      <c r="U36" s="8" t="n">
        <v>14500281</v>
      </c>
      <c r="V36" s="8" t="n">
        <v>0</v>
      </c>
      <c r="W36" s="8">
        <f>V36-U36</f>
        <v/>
      </c>
      <c r="X36" s="9">
        <f>IF(U36=0,"",V36/U36)</f>
        <v/>
      </c>
      <c r="Y36" s="8">
        <f>H36+L36+Q36+U36</f>
        <v/>
      </c>
      <c r="Z36" s="8">
        <f>I36+N36+R36+V36</f>
        <v/>
      </c>
      <c r="AA36" s="8">
        <f>Z36-Y36</f>
        <v/>
      </c>
      <c r="AB36" s="9">
        <f>IF(Y36=0,"",Z36/Y36)</f>
        <v/>
      </c>
    </row>
    <row r="37">
      <c r="A37" s="7" t="inlineStr">
        <is>
          <t>جزاءات وغرامات</t>
        </is>
      </c>
      <c r="B37" s="7" t="inlineStr">
        <is>
          <t>1438</t>
        </is>
      </c>
      <c r="C37" s="7" t="inlineStr">
        <is>
          <t>جزاءات وغرامات مفروضة بموجب أنظمة الجهة</t>
        </is>
      </c>
      <c r="D37" s="8" t="n">
        <v>0</v>
      </c>
      <c r="E37" s="8" t="n">
        <v>0</v>
      </c>
      <c r="F37" s="8">
        <f>E37-D37</f>
        <v/>
      </c>
      <c r="G37" s="9">
        <f>IF(D37=0,"",E37/D37)</f>
        <v/>
      </c>
      <c r="H37" s="8" t="n">
        <v>0</v>
      </c>
      <c r="I37" s="8" t="n">
        <v>0</v>
      </c>
      <c r="J37" s="8">
        <f>I37-H37</f>
        <v/>
      </c>
      <c r="K37" s="9">
        <f>IF(H37=0,"",I37/H37)</f>
        <v/>
      </c>
      <c r="L37" s="8" t="n">
        <v>0</v>
      </c>
      <c r="M37" s="8" t="n">
        <v>0</v>
      </c>
      <c r="N37" s="8" t="n">
        <v>2500</v>
      </c>
      <c r="O37" s="8">
        <f>N37-L37</f>
        <v/>
      </c>
      <c r="P37" s="9">
        <f>IF(L37=0,"",N37/L37)</f>
        <v/>
      </c>
      <c r="Q37" s="8" t="n">
        <v>0</v>
      </c>
      <c r="R37" s="8" t="n">
        <v>7195.64</v>
      </c>
      <c r="S37" s="8">
        <f>R37-Q37</f>
        <v/>
      </c>
      <c r="T37" s="9">
        <f>IF(Q37=0,"",R37/Q37)</f>
        <v/>
      </c>
      <c r="U37" s="8" t="n">
        <v>0</v>
      </c>
      <c r="V37" s="8" t="n">
        <v>9154.360000000001</v>
      </c>
      <c r="W37" s="8">
        <f>V37-U37</f>
        <v/>
      </c>
      <c r="X37" s="9">
        <f>IF(U37=0,"",V37/U37)</f>
        <v/>
      </c>
      <c r="Y37" s="8">
        <f>H37+L37+Q37+U37</f>
        <v/>
      </c>
      <c r="Z37" s="8">
        <f>I37+N37+R37+V37</f>
        <v/>
      </c>
      <c r="AA37" s="8">
        <f>Z37-Y37</f>
        <v/>
      </c>
      <c r="AB37" s="9">
        <f>IF(Y37=0,"",Z37/Y37)</f>
        <v/>
      </c>
    </row>
    <row r="38">
      <c r="A38" s="4" t="inlineStr">
        <is>
          <t>التبغ والإيواء</t>
        </is>
      </c>
      <c r="B38" s="4" t="n"/>
      <c r="C38" s="4" t="inlineStr">
        <is>
          <t>إجمالي التبغ والإيواء</t>
        </is>
      </c>
      <c r="D38" s="5">
        <f>SUM(D39:D41)</f>
        <v/>
      </c>
      <c r="E38" s="5">
        <f>SUM(E39:E41)</f>
        <v/>
      </c>
      <c r="F38" s="5">
        <f>E38-D38</f>
        <v/>
      </c>
      <c r="G38" s="6">
        <f>IF(D38=0,"",E38/D38)</f>
        <v/>
      </c>
      <c r="H38" s="5">
        <f>SUM(H39:H41)</f>
        <v/>
      </c>
      <c r="I38" s="5">
        <f>SUM(I39:I41)</f>
        <v/>
      </c>
      <c r="J38" s="5">
        <f>I38-H38</f>
        <v/>
      </c>
      <c r="K38" s="6">
        <f>IF(H38=0,"",I38/H38)</f>
        <v/>
      </c>
      <c r="L38" s="5">
        <f>SUM(L39:L41)</f>
        <v/>
      </c>
      <c r="M38" s="5">
        <f>SUM(M39:M41)</f>
        <v/>
      </c>
      <c r="N38" s="5">
        <f>SUM(N39:N41)</f>
        <v/>
      </c>
      <c r="O38" s="5">
        <f>N38-L38</f>
        <v/>
      </c>
      <c r="P38" s="6">
        <f>IF(L38=0,"",N38/L38)</f>
        <v/>
      </c>
      <c r="Q38" s="5">
        <f>SUM(Q39:Q41)</f>
        <v/>
      </c>
      <c r="R38" s="5">
        <f>SUM(R39:R41)</f>
        <v/>
      </c>
      <c r="S38" s="5">
        <f>R38-Q38</f>
        <v/>
      </c>
      <c r="T38" s="6">
        <f>IF(Q38=0,"",R38/Q38)</f>
        <v/>
      </c>
      <c r="U38" s="5">
        <f>SUM(U39:U41)</f>
        <v/>
      </c>
      <c r="V38" s="5">
        <f>SUM(V39:V41)</f>
        <v/>
      </c>
      <c r="W38" s="5">
        <f>V38-U38</f>
        <v/>
      </c>
      <c r="X38" s="6">
        <f>IF(U38=0,"",V38/U38)</f>
        <v/>
      </c>
      <c r="Y38" s="5">
        <f>H38+L38+Q38+U38</f>
        <v/>
      </c>
      <c r="Z38" s="5">
        <f>I38+N38+R38+V38</f>
        <v/>
      </c>
      <c r="AA38" s="5">
        <f>Z38-Y38</f>
        <v/>
      </c>
      <c r="AB38" s="6">
        <f>IF(Y38=0,"",Z38/Y38)</f>
        <v/>
      </c>
    </row>
    <row r="39">
      <c r="A39" s="7" t="inlineStr">
        <is>
          <t>التبغ والإيواء</t>
        </is>
      </c>
      <c r="B39" s="7" t="inlineStr">
        <is>
          <t>11442</t>
        </is>
      </c>
      <c r="C39" s="7" t="inlineStr">
        <is>
          <t>اشغال مرافق الايواء</t>
        </is>
      </c>
      <c r="D39" s="8" t="n">
        <v>219455439.9</v>
      </c>
      <c r="E39" s="8" t="n">
        <v>138456211.41</v>
      </c>
      <c r="F39" s="8">
        <f>E39-D39</f>
        <v/>
      </c>
      <c r="G39" s="9">
        <f>IF(D39=0,"",E39/D39)</f>
        <v/>
      </c>
      <c r="H39" s="8" t="n">
        <v>21769136.17</v>
      </c>
      <c r="I39" s="8" t="n">
        <v>12161593.5</v>
      </c>
      <c r="J39" s="8">
        <f>I39-H39</f>
        <v/>
      </c>
      <c r="K39" s="9">
        <f>IF(H39=0,"",I39/H39)</f>
        <v/>
      </c>
      <c r="L39" s="8" t="n">
        <v>25698392.79</v>
      </c>
      <c r="M39" s="8" t="n">
        <v>13283777.98</v>
      </c>
      <c r="N39" s="8" t="n">
        <v>13283777.98</v>
      </c>
      <c r="O39" s="8">
        <f>N39-L39</f>
        <v/>
      </c>
      <c r="P39" s="9">
        <f>IF(L39=0,"",N39/L39)</f>
        <v/>
      </c>
      <c r="Q39" s="8" t="n">
        <v>19850210.09</v>
      </c>
      <c r="R39" s="8" t="n">
        <v>21246746.31</v>
      </c>
      <c r="S39" s="8">
        <f>R39-Q39</f>
        <v/>
      </c>
      <c r="T39" s="9">
        <f>IF(Q39=0,"",R39/Q39)</f>
        <v/>
      </c>
      <c r="U39" s="8" t="n">
        <v>23107944.17</v>
      </c>
      <c r="V39" s="8" t="n">
        <v>17278632.31</v>
      </c>
      <c r="W39" s="8">
        <f>V39-U39</f>
        <v/>
      </c>
      <c r="X39" s="9">
        <f>IF(U39=0,"",V39/U39)</f>
        <v/>
      </c>
      <c r="Y39" s="8">
        <f>H39+L39+Q39+U39</f>
        <v/>
      </c>
      <c r="Z39" s="8">
        <f>I39+N39+R39+V39</f>
        <v/>
      </c>
      <c r="AA39" s="8">
        <f>Z39-Y39</f>
        <v/>
      </c>
      <c r="AB39" s="9">
        <f>IF(Y39=0,"",Z39/Y39)</f>
        <v/>
      </c>
    </row>
    <row r="40">
      <c r="A40" s="7" t="inlineStr">
        <is>
          <t>التبغ والإيواء</t>
        </is>
      </c>
      <c r="B40" s="7" t="inlineStr">
        <is>
          <t>1421911</t>
        </is>
      </c>
      <c r="C40" s="7" t="inlineStr">
        <is>
          <t>رسم مبيعات محلات تقديم منتجات التبغ</t>
        </is>
      </c>
      <c r="D40" s="8" t="n">
        <v>73471717.89</v>
      </c>
      <c r="E40" s="8" t="n">
        <v>56784442.92</v>
      </c>
      <c r="F40" s="8">
        <f>E40-D40</f>
        <v/>
      </c>
      <c r="G40" s="9">
        <f>IF(D40=0,"",E40/D40)</f>
        <v/>
      </c>
      <c r="H40" s="8" t="n">
        <v>8193382.04</v>
      </c>
      <c r="I40" s="8" t="n">
        <v>5039927.64</v>
      </c>
      <c r="J40" s="8">
        <f>I40-H40</f>
        <v/>
      </c>
      <c r="K40" s="9">
        <f>IF(H40=0,"",I40/H40)</f>
        <v/>
      </c>
      <c r="L40" s="8" t="n">
        <v>6863252.07</v>
      </c>
      <c r="M40" s="8" t="n">
        <v>3739768.97</v>
      </c>
      <c r="N40" s="8" t="n">
        <v>4881210.37</v>
      </c>
      <c r="O40" s="8">
        <f>N40-L40</f>
        <v/>
      </c>
      <c r="P40" s="9">
        <f>IF(L40=0,"",N40/L40)</f>
        <v/>
      </c>
      <c r="Q40" s="8" t="n">
        <v>5768559.67</v>
      </c>
      <c r="R40" s="8" t="n">
        <v>5248722.33</v>
      </c>
      <c r="S40" s="8">
        <f>R40-Q40</f>
        <v/>
      </c>
      <c r="T40" s="9">
        <f>IF(Q40=0,"",R40/Q40)</f>
        <v/>
      </c>
      <c r="U40" s="8" t="n">
        <v>5209792.3</v>
      </c>
      <c r="V40" s="8" t="n">
        <v>5286649.66</v>
      </c>
      <c r="W40" s="8">
        <f>V40-U40</f>
        <v/>
      </c>
      <c r="X40" s="9">
        <f>IF(U40=0,"",V40/U40)</f>
        <v/>
      </c>
      <c r="Y40" s="8">
        <f>H40+L40+Q40+U40</f>
        <v/>
      </c>
      <c r="Z40" s="8">
        <f>I40+N40+R40+V40</f>
        <v/>
      </c>
      <c r="AA40" s="8">
        <f>Z40-Y40</f>
        <v/>
      </c>
      <c r="AB40" s="9">
        <f>IF(Y40=0,"",Z40/Y40)</f>
        <v/>
      </c>
    </row>
    <row r="41">
      <c r="A41" s="7" t="inlineStr">
        <is>
          <t>التبغ والإيواء</t>
        </is>
      </c>
      <c r="B41" s="7" t="inlineStr">
        <is>
          <t>1422121</t>
        </is>
      </c>
      <c r="C41" s="7" t="inlineStr">
        <is>
          <t>رسم ترخيص نشاط تقديم منتجات التبغ</t>
        </is>
      </c>
      <c r="D41" s="8" t="n">
        <v>15428499.01</v>
      </c>
      <c r="E41" s="8" t="n">
        <v>13854265.49</v>
      </c>
      <c r="F41" s="8">
        <f>E41-D41</f>
        <v/>
      </c>
      <c r="G41" s="9">
        <f>IF(D41=0,"",E41/D41)</f>
        <v/>
      </c>
      <c r="H41" s="8" t="n">
        <v>3087841.31</v>
      </c>
      <c r="I41" s="8" t="n">
        <v>986500</v>
      </c>
      <c r="J41" s="8">
        <f>I41-H41</f>
        <v/>
      </c>
      <c r="K41" s="9">
        <f>IF(H41=0,"",I41/H41)</f>
        <v/>
      </c>
      <c r="L41" s="8" t="n">
        <v>1865536.6</v>
      </c>
      <c r="M41" s="8" t="n">
        <v>437434.24</v>
      </c>
      <c r="N41" s="8" t="n">
        <v>973250</v>
      </c>
      <c r="O41" s="8">
        <f>N41-L41</f>
        <v/>
      </c>
      <c r="P41" s="9">
        <f>IF(L41=0,"",N41/L41)</f>
        <v/>
      </c>
      <c r="Q41" s="8" t="n">
        <v>1246546.67</v>
      </c>
      <c r="R41" s="8" t="n">
        <v>1295756</v>
      </c>
      <c r="S41" s="8">
        <f>R41-Q41</f>
        <v/>
      </c>
      <c r="T41" s="9">
        <f>IF(Q41=0,"",R41/Q41)</f>
        <v/>
      </c>
      <c r="U41" s="8" t="n">
        <v>1183471.33</v>
      </c>
      <c r="V41" s="8" t="n">
        <v>1399244</v>
      </c>
      <c r="W41" s="8">
        <f>V41-U41</f>
        <v/>
      </c>
      <c r="X41" s="9">
        <f>IF(U41=0,"",V41/U41)</f>
        <v/>
      </c>
      <c r="Y41" s="8">
        <f>H41+L41+Q41+U41</f>
        <v/>
      </c>
      <c r="Z41" s="8">
        <f>I41+N41+R41+V41</f>
        <v/>
      </c>
      <c r="AA41" s="8">
        <f>Z41-Y41</f>
        <v/>
      </c>
      <c r="AB41" s="9">
        <f>IF(Y41=0,"",Z41/Y41)</f>
        <v/>
      </c>
    </row>
    <row r="42">
      <c r="A42" s="4" t="inlineStr">
        <is>
          <t>أخرى</t>
        </is>
      </c>
      <c r="B42" s="4" t="n"/>
      <c r="C42" s="4" t="inlineStr">
        <is>
          <t>إجمالي أخرى</t>
        </is>
      </c>
      <c r="D42" s="5">
        <f>SUM(D43:D46)</f>
        <v/>
      </c>
      <c r="E42" s="5">
        <f>SUM(E43:E46)</f>
        <v/>
      </c>
      <c r="F42" s="5">
        <f>E42-D42</f>
        <v/>
      </c>
      <c r="G42" s="6">
        <f>IF(D42=0,"",E42/D42)</f>
        <v/>
      </c>
      <c r="H42" s="5">
        <f>SUM(H43:H46)</f>
        <v/>
      </c>
      <c r="I42" s="5">
        <f>SUM(I43:I46)</f>
        <v/>
      </c>
      <c r="J42" s="5">
        <f>I42-H42</f>
        <v/>
      </c>
      <c r="K42" s="6">
        <f>IF(H42=0,"",I42/H42)</f>
        <v/>
      </c>
      <c r="L42" s="5">
        <f>SUM(L43:L46)</f>
        <v/>
      </c>
      <c r="M42" s="5">
        <f>SUM(M43:M46)</f>
        <v/>
      </c>
      <c r="N42" s="5">
        <f>SUM(N43:N46)</f>
        <v/>
      </c>
      <c r="O42" s="5">
        <f>N42-L42</f>
        <v/>
      </c>
      <c r="P42" s="6">
        <f>IF(L42=0,"",N42/L42)</f>
        <v/>
      </c>
      <c r="Q42" s="5">
        <f>SUM(Q43:Q46)</f>
        <v/>
      </c>
      <c r="R42" s="5">
        <f>SUM(R43:R46)</f>
        <v/>
      </c>
      <c r="S42" s="5">
        <f>R42-Q42</f>
        <v/>
      </c>
      <c r="T42" s="6">
        <f>IF(Q42=0,"",R42/Q42)</f>
        <v/>
      </c>
      <c r="U42" s="5">
        <f>SUM(U43:U46)</f>
        <v/>
      </c>
      <c r="V42" s="5">
        <f>SUM(V43:V46)</f>
        <v/>
      </c>
      <c r="W42" s="5">
        <f>V42-U42</f>
        <v/>
      </c>
      <c r="X42" s="6">
        <f>IF(U42=0,"",V42/U42)</f>
        <v/>
      </c>
      <c r="Y42" s="5">
        <f>H42+L42+Q42+U42</f>
        <v/>
      </c>
      <c r="Z42" s="5">
        <f>I42+N42+R42+V42</f>
        <v/>
      </c>
      <c r="AA42" s="5">
        <f>Z42-Y42</f>
        <v/>
      </c>
      <c r="AB42" s="6">
        <f>IF(Y42=0,"",Z42/Y42)</f>
        <v/>
      </c>
    </row>
    <row r="43">
      <c r="A43" s="7" t="inlineStr">
        <is>
          <t>أخرى</t>
        </is>
      </c>
      <c r="B43" s="7" t="inlineStr">
        <is>
          <t>1421999</t>
        </is>
      </c>
      <c r="C43" s="7" t="inlineStr">
        <is>
          <t>مبيعات أخرى</t>
        </is>
      </c>
      <c r="D43" s="8" t="n">
        <v>74370598.66</v>
      </c>
      <c r="E43" s="8" t="n">
        <v>130326875.93</v>
      </c>
      <c r="F43" s="8">
        <f>E43-D43</f>
        <v/>
      </c>
      <c r="G43" s="9">
        <f>IF(D43=0,"",E43/D43)</f>
        <v/>
      </c>
      <c r="H43" s="8" t="n">
        <v>16272410.09</v>
      </c>
      <c r="I43" s="8" t="n">
        <v>37169047.64</v>
      </c>
      <c r="J43" s="8">
        <f>I43-H43</f>
        <v/>
      </c>
      <c r="K43" s="9">
        <f>IF(H43=0,"",I43/H43)</f>
        <v/>
      </c>
      <c r="L43" s="8" t="n">
        <v>7531118.23</v>
      </c>
      <c r="M43" s="8" t="n">
        <v>7217587.27</v>
      </c>
      <c r="N43" s="8" t="n">
        <v>7217587.27</v>
      </c>
      <c r="O43" s="8">
        <f>N43-L43</f>
        <v/>
      </c>
      <c r="P43" s="9">
        <f>IF(L43=0,"",N43/L43)</f>
        <v/>
      </c>
      <c r="Q43" s="8" t="n">
        <v>2119658.52</v>
      </c>
      <c r="R43" s="8" t="n">
        <v>1161058.18</v>
      </c>
      <c r="S43" s="8">
        <f>R43-Q43</f>
        <v/>
      </c>
      <c r="T43" s="9">
        <f>IF(Q43=0,"",R43/Q43)</f>
        <v/>
      </c>
      <c r="U43" s="8" t="n">
        <v>9129947.939999999</v>
      </c>
      <c r="V43" s="8" t="n">
        <v>1335304.27</v>
      </c>
      <c r="W43" s="8">
        <f>V43-U43</f>
        <v/>
      </c>
      <c r="X43" s="9">
        <f>IF(U43=0,"",V43/U43)</f>
        <v/>
      </c>
      <c r="Y43" s="8">
        <f>H43+L43+Q43+U43</f>
        <v/>
      </c>
      <c r="Z43" s="8">
        <f>I43+N43+R43+V43</f>
        <v/>
      </c>
      <c r="AA43" s="8">
        <f>Z43-Y43</f>
        <v/>
      </c>
      <c r="AB43" s="9">
        <f>IF(Y43=0,"",Z43/Y43)</f>
        <v/>
      </c>
    </row>
    <row r="44">
      <c r="A44" s="7" t="inlineStr">
        <is>
          <t>أخرى</t>
        </is>
      </c>
      <c r="B44" s="7" t="inlineStr">
        <is>
          <t>144122</t>
        </is>
      </c>
      <c r="C44" s="7" t="inlineStr">
        <is>
          <t>إيرادات  متنوعه</t>
        </is>
      </c>
      <c r="D44" s="8" t="n">
        <v>3838737.45</v>
      </c>
      <c r="E44" s="8" t="n">
        <v>55804724.95</v>
      </c>
      <c r="F44" s="8">
        <f>E44-D44</f>
        <v/>
      </c>
      <c r="G44" s="9">
        <f>IF(D44=0,"",E44/D44)</f>
        <v/>
      </c>
      <c r="H44" s="8" t="n">
        <v>437108.39</v>
      </c>
      <c r="I44" s="8" t="n">
        <v>345776</v>
      </c>
      <c r="J44" s="8">
        <f>I44-H44</f>
        <v/>
      </c>
      <c r="K44" s="9">
        <f>IF(H44=0,"",I44/H44)</f>
        <v/>
      </c>
      <c r="L44" s="8" t="n">
        <v>437108.39</v>
      </c>
      <c r="M44" s="8" t="n">
        <v>124953</v>
      </c>
      <c r="N44" s="8" t="n">
        <v>126070</v>
      </c>
      <c r="O44" s="8">
        <f>N44-L44</f>
        <v/>
      </c>
      <c r="P44" s="9">
        <f>IF(L44=0,"",N44/L44)</f>
        <v/>
      </c>
      <c r="Q44" s="8" t="n">
        <v>437120.39</v>
      </c>
      <c r="R44" s="8" t="n">
        <v>38426.83</v>
      </c>
      <c r="S44" s="8">
        <f>R44-Q44</f>
        <v/>
      </c>
      <c r="T44" s="9">
        <f>IF(Q44=0,"",R44/Q44)</f>
        <v/>
      </c>
      <c r="U44" s="8" t="n">
        <v>684676.76</v>
      </c>
      <c r="V44" s="8" t="n">
        <v>39062.25</v>
      </c>
      <c r="W44" s="8">
        <f>V44-U44</f>
        <v/>
      </c>
      <c r="X44" s="9">
        <f>IF(U44=0,"",V44/U44)</f>
        <v/>
      </c>
      <c r="Y44" s="8">
        <f>H44+L44+Q44+U44</f>
        <v/>
      </c>
      <c r="Z44" s="8">
        <f>I44+N44+R44+V44</f>
        <v/>
      </c>
      <c r="AA44" s="8">
        <f>Z44-Y44</f>
        <v/>
      </c>
      <c r="AB44" s="9">
        <f>IF(Y44=0,"",Z44/Y44)</f>
        <v/>
      </c>
    </row>
    <row r="45">
      <c r="A45" s="7" t="inlineStr">
        <is>
          <t>أخرى</t>
        </is>
      </c>
      <c r="B45" s="7" t="inlineStr">
        <is>
          <t>1422202</t>
        </is>
      </c>
      <c r="C45" s="7" t="inlineStr">
        <is>
          <t>نقـل الملكيـة</t>
        </is>
      </c>
      <c r="D45" s="8" t="n">
        <v>0</v>
      </c>
      <c r="E45" s="8" t="n">
        <v>4792650</v>
      </c>
      <c r="F45" s="8">
        <f>E45-D45</f>
        <v/>
      </c>
      <c r="G45" s="9">
        <f>IF(D45=0,"",E45/D45)</f>
        <v/>
      </c>
      <c r="H45" s="8" t="n">
        <v>0</v>
      </c>
      <c r="I45" s="8" t="n">
        <v>0</v>
      </c>
      <c r="J45" s="8">
        <f>I45-H45</f>
        <v/>
      </c>
      <c r="K45" s="9">
        <f>IF(H45=0,"",I45/H45)</f>
        <v/>
      </c>
      <c r="L45" s="8" t="n">
        <v>0</v>
      </c>
      <c r="M45" s="8" t="n">
        <v>0</v>
      </c>
      <c r="N45" s="8" t="n">
        <v>0</v>
      </c>
      <c r="O45" s="8">
        <f>N45-L45</f>
        <v/>
      </c>
      <c r="P45" s="9">
        <f>IF(L45=0,"",N45/L45)</f>
        <v/>
      </c>
      <c r="Q45" s="8" t="n">
        <v>0</v>
      </c>
      <c r="R45" s="8" t="n">
        <v>0</v>
      </c>
      <c r="S45" s="8">
        <f>R45-Q45</f>
        <v/>
      </c>
      <c r="T45" s="9">
        <f>IF(Q45=0,"",R45/Q45)</f>
        <v/>
      </c>
      <c r="U45" s="8" t="n">
        <v>0</v>
      </c>
      <c r="V45" s="8" t="n">
        <v>0</v>
      </c>
      <c r="W45" s="8">
        <f>V45-U45</f>
        <v/>
      </c>
      <c r="X45" s="9">
        <f>IF(U45=0,"",V45/U45)</f>
        <v/>
      </c>
      <c r="Y45" s="8">
        <f>H45+L45+Q45+U45</f>
        <v/>
      </c>
      <c r="Z45" s="8">
        <f>I45+N45+R45+V45</f>
        <v/>
      </c>
      <c r="AA45" s="8">
        <f>Z45-Y45</f>
        <v/>
      </c>
      <c r="AB45" s="9">
        <f>IF(Y45=0,"",Z45/Y45)</f>
        <v/>
      </c>
    </row>
    <row r="46">
      <c r="A46" s="7" t="inlineStr">
        <is>
          <t>أخرى</t>
        </is>
      </c>
      <c r="B46" s="7" t="inlineStr">
        <is>
          <t>1421901</t>
        </is>
      </c>
      <c r="C46" s="7" t="inlineStr">
        <is>
          <t>بيع الوثائق والأنظمة</t>
        </is>
      </c>
      <c r="D46" s="8" t="n">
        <v>5007253.34</v>
      </c>
      <c r="E46" s="8" t="n">
        <v>2418825.35</v>
      </c>
      <c r="F46" s="8">
        <f>E46-D46</f>
        <v/>
      </c>
      <c r="G46" s="9">
        <f>IF(D46=0,"",E46/D46)</f>
        <v/>
      </c>
      <c r="H46" s="8" t="n">
        <v>556361.4300000001</v>
      </c>
      <c r="I46" s="8" t="n">
        <v>148482.35</v>
      </c>
      <c r="J46" s="8">
        <f>I46-H46</f>
        <v/>
      </c>
      <c r="K46" s="9">
        <f>IF(H46=0,"",I46/H46)</f>
        <v/>
      </c>
      <c r="L46" s="8" t="n">
        <v>556368.8</v>
      </c>
      <c r="M46" s="8" t="n">
        <v>179280.35</v>
      </c>
      <c r="N46" s="8" t="n">
        <v>179280.35</v>
      </c>
      <c r="O46" s="8">
        <f>N46-L46</f>
        <v/>
      </c>
      <c r="P46" s="9">
        <f>IF(L46=0,"",N46/L46)</f>
        <v/>
      </c>
      <c r="Q46" s="8" t="n">
        <v>556377.2</v>
      </c>
      <c r="R46" s="8" t="n">
        <v>179667.96</v>
      </c>
      <c r="S46" s="8">
        <f>R46-Q46</f>
        <v/>
      </c>
      <c r="T46" s="9">
        <f>IF(Q46=0,"",R46/Q46)</f>
        <v/>
      </c>
      <c r="U46" s="8" t="n">
        <v>555958.98</v>
      </c>
      <c r="V46" s="8" t="n">
        <v>105836.51</v>
      </c>
      <c r="W46" s="8">
        <f>V46-U46</f>
        <v/>
      </c>
      <c r="X46" s="9">
        <f>IF(U46=0,"",V46/U46)</f>
        <v/>
      </c>
      <c r="Y46" s="8">
        <f>H46+L46+Q46+U46</f>
        <v/>
      </c>
      <c r="Z46" s="8">
        <f>I46+N46+R46+V46</f>
        <v/>
      </c>
      <c r="AA46" s="8">
        <f>Z46-Y46</f>
        <v/>
      </c>
      <c r="AB46" s="9">
        <f>IF(Y46=0,"",Z46/Y46)</f>
        <v/>
      </c>
    </row>
    <row r="47">
      <c r="A47" s="4" t="inlineStr">
        <is>
          <t>علم / جزاءات</t>
        </is>
      </c>
      <c r="B47" s="4" t="n"/>
      <c r="C47" s="4" t="inlineStr">
        <is>
          <t>إجمالي علم / جزاءات</t>
        </is>
      </c>
      <c r="D47" s="5">
        <f>SUM(D48:D48)</f>
        <v/>
      </c>
      <c r="E47" s="5">
        <f>SUM(E48:E48)</f>
        <v/>
      </c>
      <c r="F47" s="5">
        <f>E47-D47</f>
        <v/>
      </c>
      <c r="G47" s="6">
        <f>IF(D47=0,"",E47/D47)</f>
        <v/>
      </c>
      <c r="H47" s="5">
        <f>SUM(H48:H48)</f>
        <v/>
      </c>
      <c r="I47" s="5">
        <f>SUM(I48:I48)</f>
        <v/>
      </c>
      <c r="J47" s="5">
        <f>I47-H47</f>
        <v/>
      </c>
      <c r="K47" s="6">
        <f>IF(H47=0,"",I47/H47)</f>
        <v/>
      </c>
      <c r="L47" s="5">
        <f>SUM(L48:L48)</f>
        <v/>
      </c>
      <c r="M47" s="5">
        <f>SUM(M48:M48)</f>
        <v/>
      </c>
      <c r="N47" s="5">
        <f>SUM(N48:N48)</f>
        <v/>
      </c>
      <c r="O47" s="5">
        <f>N47-L47</f>
        <v/>
      </c>
      <c r="P47" s="6">
        <f>IF(L47=0,"",N47/L47)</f>
        <v/>
      </c>
      <c r="Q47" s="5">
        <f>SUM(Q48:Q48)</f>
        <v/>
      </c>
      <c r="R47" s="5">
        <f>SUM(R48:R48)</f>
        <v/>
      </c>
      <c r="S47" s="5">
        <f>R47-Q47</f>
        <v/>
      </c>
      <c r="T47" s="6">
        <f>IF(Q47=0,"",R47/Q47)</f>
        <v/>
      </c>
      <c r="U47" s="5">
        <f>SUM(U48:U48)</f>
        <v/>
      </c>
      <c r="V47" s="5">
        <f>SUM(V48:V48)</f>
        <v/>
      </c>
      <c r="W47" s="5">
        <f>V47-U47</f>
        <v/>
      </c>
      <c r="X47" s="6">
        <f>IF(U47=0,"",V47/U47)</f>
        <v/>
      </c>
      <c r="Y47" s="5">
        <f>H47+L47+Q47+U47</f>
        <v/>
      </c>
      <c r="Z47" s="5">
        <f>I47+N47+R47+V47</f>
        <v/>
      </c>
      <c r="AA47" s="5">
        <f>Z47-Y47</f>
        <v/>
      </c>
      <c r="AB47" s="6">
        <f>IF(Y47=0,"",Z47/Y47)</f>
        <v/>
      </c>
    </row>
    <row r="48">
      <c r="A48" s="7" t="inlineStr">
        <is>
          <t>علم / جزاءات</t>
        </is>
      </c>
      <c r="B48" s="7" t="inlineStr">
        <is>
          <t>بدون رقم</t>
        </is>
      </c>
      <c r="C48" s="7" t="inlineStr">
        <is>
          <t>بدون رقم (خدمات علم + جزاءات)</t>
        </is>
      </c>
      <c r="D48" s="8" t="n">
        <v>0</v>
      </c>
      <c r="E48" s="8" t="n">
        <v>0</v>
      </c>
      <c r="F48" s="8">
        <f>E48-D48</f>
        <v/>
      </c>
      <c r="G48" s="9">
        <f>IF(D48=0,"",E48/D48)</f>
        <v/>
      </c>
      <c r="H48" s="8" t="n">
        <v>0</v>
      </c>
      <c r="I48" s="8" t="n">
        <v>0</v>
      </c>
      <c r="J48" s="8">
        <f>I48-H48</f>
        <v/>
      </c>
      <c r="K48" s="9">
        <f>IF(H48=0,"",I48/H48)</f>
        <v/>
      </c>
      <c r="L48" s="8" t="n">
        <v>0</v>
      </c>
      <c r="M48" s="8" t="n">
        <v>390906.25</v>
      </c>
      <c r="N48" s="8" t="n">
        <v>390906.25</v>
      </c>
      <c r="O48" s="8">
        <f>N48-L48</f>
        <v/>
      </c>
      <c r="P48" s="9">
        <f>IF(L48=0,"",N48/L48)</f>
        <v/>
      </c>
      <c r="Q48" s="8" t="n">
        <v>0</v>
      </c>
      <c r="R48" s="8" t="n">
        <v>264165.43</v>
      </c>
      <c r="S48" s="8">
        <f>R48-Q48</f>
        <v/>
      </c>
      <c r="T48" s="9">
        <f>IF(Q48=0,"",R48/Q48)</f>
        <v/>
      </c>
      <c r="U48" s="8" t="n">
        <v>0</v>
      </c>
      <c r="V48" s="8" t="n">
        <v>283668.32</v>
      </c>
      <c r="W48" s="8">
        <f>V48-U48</f>
        <v/>
      </c>
      <c r="X48" s="9">
        <f>IF(U48=0,"",V48/U48)</f>
        <v/>
      </c>
      <c r="Y48" s="8">
        <f>H48+L48+Q48+U48</f>
        <v/>
      </c>
      <c r="Z48" s="8">
        <f>I48+N48+R48+V48</f>
        <v/>
      </c>
      <c r="AA48" s="8">
        <f>Z48-Y48</f>
        <v/>
      </c>
      <c r="AB48" s="9">
        <f>IF(Y48=0,"",Z48/Y48)</f>
        <v/>
      </c>
    </row>
    <row r="49">
      <c r="A49" s="10" t="n"/>
      <c r="B49" s="10" t="n"/>
      <c r="C49" s="10" t="inlineStr">
        <is>
          <t>الإجمالي العام</t>
        </is>
      </c>
      <c r="D49" s="11">
        <f>D6+D14+D33+D38+D42+D47</f>
        <v/>
      </c>
      <c r="E49" s="11">
        <f>E6+E14+E33+E38+E42+E47</f>
        <v/>
      </c>
      <c r="F49" s="11">
        <f>E49-D49</f>
        <v/>
      </c>
      <c r="G49" s="12">
        <f>IF(D49=0,"",E49/D49)</f>
        <v/>
      </c>
      <c r="H49" s="11">
        <f>H6+H14+H33+H38+H42+H47</f>
        <v/>
      </c>
      <c r="I49" s="11">
        <f>I6+I14+I33+I38+I42+I47</f>
        <v/>
      </c>
      <c r="J49" s="11">
        <f>I49-H49</f>
        <v/>
      </c>
      <c r="K49" s="12">
        <f>IF(H49=0,"",I49/H49)</f>
        <v/>
      </c>
      <c r="L49" s="11">
        <f>L6+L14+L33+L38+L42+L47</f>
        <v/>
      </c>
      <c r="M49" s="11">
        <f>M6+M14+M33+M38+M42+M47</f>
        <v/>
      </c>
      <c r="N49" s="11">
        <f>N6+N14+N33+N38+N42+N47</f>
        <v/>
      </c>
      <c r="O49" s="11">
        <f>N49-L49</f>
        <v/>
      </c>
      <c r="P49" s="12">
        <f>IF(L49=0,"",N49/L49)</f>
        <v/>
      </c>
      <c r="Q49" s="11">
        <f>Q6+Q14+Q33+Q38+Q42+Q47</f>
        <v/>
      </c>
      <c r="R49" s="11">
        <f>R6+R14+R33+R38+R42+R47</f>
        <v/>
      </c>
      <c r="S49" s="11">
        <f>R49-Q49</f>
        <v/>
      </c>
      <c r="T49" s="12">
        <f>IF(Q49=0,"",R49/Q49)</f>
        <v/>
      </c>
      <c r="U49" s="11">
        <f>U6+U14+U33+U38+U42+U47</f>
        <v/>
      </c>
      <c r="V49" s="11">
        <f>V6+V14+V33+V38+V42+V47</f>
        <v/>
      </c>
      <c r="W49" s="11">
        <f>V49-U49</f>
        <v/>
      </c>
      <c r="X49" s="12">
        <f>IF(U49=0,"",V49/U49)</f>
        <v/>
      </c>
      <c r="Y49" s="11">
        <f>H49+L49+Q49+U49</f>
        <v/>
      </c>
      <c r="Z49" s="11">
        <f>I49+N49+R49+V49</f>
        <v/>
      </c>
      <c r="AA49" s="11">
        <f>Z49-Y49</f>
        <v/>
      </c>
      <c r="AB49" s="12">
        <f>IF(Y49=0,"",Z49/Y49)</f>
        <v/>
      </c>
    </row>
  </sheetData>
  <mergeCells count="10">
    <mergeCell ref="A2:AB2"/>
    <mergeCell ref="H4:K4"/>
    <mergeCell ref="L4:P4"/>
    <mergeCell ref="B4:B5"/>
    <mergeCell ref="Q4:T4"/>
    <mergeCell ref="C4:C5"/>
    <mergeCell ref="A4:A5"/>
    <mergeCell ref="U4:X4"/>
    <mergeCell ref="Y4:AB4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2026-10-19T17:35:14Z</dcterms:created>
  <dcterms:modified xmlns:dcterms="http://purl.org/dc/terms/" xmlns:xsi="http://www.w3.org/2001/XMLSchema-instance" xsi:type="dcterms:W3CDTF">2026-10-19T17:35:15Z</dcterms:modified>
</cp:coreProperties>
</file>