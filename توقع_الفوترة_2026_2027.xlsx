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توقع المحصل 2026" sheetId="4" state="visible" r:id="rId4"/>
    <sheet xmlns:r="http://schemas.openxmlformats.org/officeDocument/2006/relationships" name="تحليل التوقع والأسوأ" sheetId="5" state="visible" r:id="rId5"/>
    <sheet xmlns:r="http://schemas.openxmlformats.org/officeDocument/2006/relationships" name="الافتراضات" sheetId="6" state="visible" r:id="rId6"/>
  </sheets>
  <definedNames>
    <definedName name="_xlnm._FilterDatabase" localSheetId="0" hidden="1">'التوقعات'!$A$3:$R$41</definedName>
    <definedName name="_xlnm._FilterDatabase" localSheetId="3" hidden="1">'توقع المحصل 2026'!$A$3:$N$41</definedName>
    <definedName name="_xlnm._FilterDatabase" localSheetId="4" hidden="1">'تحليل التوقع والأسوأ'!$A$4:$O$42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166" fontId="3" fillId="3" borderId="0" pivotButton="0" quotePrefix="0" xfId="0"/>
    <xf numFmtId="2" fontId="5" fillId="0" borderId="1" pivotButton="0" quotePrefix="0" xfId="0"/>
    <xf numFmtId="0" fontId="5" fillId="0" borderId="1" applyAlignment="1" pivotButton="0" quotePrefix="0" xfId="0">
      <alignment vertical="top" wrapText="1"/>
    </xf>
    <xf numFmtId="2" fontId="6" fillId="4" borderId="1" pivotButton="0" quotePrefix="0" xfId="0"/>
    <xf numFmtId="0" fontId="6" fillId="4" borderId="1" applyAlignment="1" pivotButton="0" quotePrefix="0" xfId="0">
      <alignment vertical="top" wrapText="1"/>
    </xf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12" customWidth="1" min="14" max="14"/>
    <col width="14" customWidth="1" min="15" max="15"/>
    <col width="16" customWidth="1" min="16" max="16"/>
    <col width="16" customWidth="1" min="17" max="17"/>
    <col width="30" customWidth="1" min="18" max="18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2024 عن 2023</t>
        </is>
      </c>
      <c r="N3" s="4" t="inlineStr">
        <is>
          <t>نمو 2025 عن 2024</t>
        </is>
      </c>
      <c r="O3" s="4" t="inlineStr">
        <is>
          <t>نمو 2026 توقع عن 2025</t>
        </is>
      </c>
      <c r="P3" s="4" t="inlineStr">
        <is>
          <t>نمو 2027 (سيناريو النمو الثابت) عن 2026</t>
        </is>
      </c>
      <c r="Q3" s="4" t="inlineStr">
        <is>
          <t>نمو 2027 (سيناريو تاريخي) عن 2026</t>
        </is>
      </c>
      <c r="R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IF(E4=0,"",F4/E4-1)</f>
        <v/>
      </c>
      <c r="N4" s="7">
        <f>IF(F4=0,"",G4/F4-1)</f>
        <v/>
      </c>
      <c r="O4" s="7">
        <f>IF(G4=0,"",I4/G4-1)</f>
        <v/>
      </c>
      <c r="P4" s="7">
        <f>IF(I4=0,"",J4/I4-1)</f>
        <v/>
      </c>
      <c r="Q4" s="7">
        <f>IF(I4=0,"",L4/I4-1)</f>
        <v/>
      </c>
      <c r="R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IF(E5=0,"",F5/E5-1)</f>
        <v/>
      </c>
      <c r="N5" s="7">
        <f>IF(F5=0,"",G5/F5-1)</f>
        <v/>
      </c>
      <c r="O5" s="7">
        <f>IF(G5=0,"",I5/G5-1)</f>
        <v/>
      </c>
      <c r="P5" s="7">
        <f>IF(I5=0,"",J5/I5-1)</f>
        <v/>
      </c>
      <c r="Q5" s="7">
        <f>IF(I5=0,"",L5/I5-1)</f>
        <v/>
      </c>
      <c r="R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IF(E6=0,"",F6/E6-1)</f>
        <v/>
      </c>
      <c r="N6" s="7">
        <f>IF(F6=0,"",G6/F6-1)</f>
        <v/>
      </c>
      <c r="O6" s="7">
        <f>IF(G6=0,"",I6/G6-1)</f>
        <v/>
      </c>
      <c r="P6" s="7">
        <f>IF(I6=0,"",J6/I6-1)</f>
        <v/>
      </c>
      <c r="Q6" s="7">
        <f>IF(I6=0,"",L6/I6-1)</f>
        <v/>
      </c>
      <c r="R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IF(E7=0,"",F7/E7-1)</f>
        <v/>
      </c>
      <c r="N7" s="7">
        <f>IF(F7=0,"",G7/F7-1)</f>
        <v/>
      </c>
      <c r="O7" s="7">
        <f>IF(G7=0,"",I7/G7-1)</f>
        <v/>
      </c>
      <c r="P7" s="7">
        <f>IF(I7=0,"",J7/I7-1)</f>
        <v/>
      </c>
      <c r="Q7" s="7">
        <f>IF(I7=0,"",L7/I7-1)</f>
        <v/>
      </c>
      <c r="R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IF(E8=0,"",F8/E8-1)</f>
        <v/>
      </c>
      <c r="N8" s="7">
        <f>IF(F8=0,"",G8/F8-1)</f>
        <v/>
      </c>
      <c r="O8" s="7">
        <f>IF(G8=0,"",I8/G8-1)</f>
        <v/>
      </c>
      <c r="P8" s="7">
        <f>IF(I8=0,"",J8/I8-1)</f>
        <v/>
      </c>
      <c r="Q8" s="7">
        <f>IF(I8=0,"",L8/I8-1)</f>
        <v/>
      </c>
      <c r="R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IF(E9=0,"",F9/E9-1)</f>
        <v/>
      </c>
      <c r="N9" s="7">
        <f>IF(F9=0,"",G9/F9-1)</f>
        <v/>
      </c>
      <c r="O9" s="7">
        <f>IF(G9=0,"",I9/G9-1)</f>
        <v/>
      </c>
      <c r="P9" s="7">
        <f>IF(I9=0,"",J9/I9-1)</f>
        <v/>
      </c>
      <c r="Q9" s="7">
        <f>IF(I9=0,"",L9/I9-1)</f>
        <v/>
      </c>
      <c r="R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IF(E10=0,"",F10/E10-1)</f>
        <v/>
      </c>
      <c r="N10" s="7">
        <f>IF(F10=0,"",G10/F10-1)</f>
        <v/>
      </c>
      <c r="O10" s="7">
        <f>IF(G10=0,"",I10/G10-1)</f>
        <v/>
      </c>
      <c r="P10" s="7">
        <f>IF(I10=0,"",J10/I10-1)</f>
        <v/>
      </c>
      <c r="Q10" s="7">
        <f>IF(I10=0,"",L10/I10-1)</f>
        <v/>
      </c>
      <c r="R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IF(E11=0,"",F11/E11-1)</f>
        <v/>
      </c>
      <c r="N11" s="7">
        <f>IF(F11=0,"",G11/F11-1)</f>
        <v/>
      </c>
      <c r="O11" s="7">
        <f>IF(G11=0,"",I11/G11-1)</f>
        <v/>
      </c>
      <c r="P11" s="7">
        <f>IF(I11=0,"",J11/I11-1)</f>
        <v/>
      </c>
      <c r="Q11" s="7">
        <f>IF(I11=0,"",L11/I11-1)</f>
        <v/>
      </c>
      <c r="R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IF(E12=0,"",F12/E12-1)</f>
        <v/>
      </c>
      <c r="N12" s="7">
        <f>IF(F12=0,"",G12/F12-1)</f>
        <v/>
      </c>
      <c r="O12" s="7">
        <f>IF(G12=0,"",I12/G12-1)</f>
        <v/>
      </c>
      <c r="P12" s="7">
        <f>IF(I12=0,"",J12/I12-1)</f>
        <v/>
      </c>
      <c r="Q12" s="7">
        <f>IF(I12=0,"",L12/I12-1)</f>
        <v/>
      </c>
      <c r="R12" s="5" t="inlineStr">
        <is>
          <t>تذبذب عالٍ – راجع التوقع</t>
        </is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 t="inlineStr">
        <is>
          <t>نشط</t>
        </is>
      </c>
      <c r="E13" s="6" t="n">
        <v>9941900.57</v>
      </c>
      <c r="F13" s="6" t="n">
        <v>14133817.21</v>
      </c>
      <c r="G13" s="6" t="n">
        <v>80747739.2</v>
      </c>
      <c r="H13" s="6" t="n">
        <v>316496963.26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IF(D13="متوقف",0,MAX(-الافتراضات!$B$6,MIN(الافتراضات!$B$6,1.849906)))</f>
        <v/>
      </c>
      <c r="L13" s="6">
        <f>I13*(1+K13)</f>
        <v/>
      </c>
      <c r="M13" s="7">
        <f>IF(E13=0,"",F13/E13-1)</f>
        <v/>
      </c>
      <c r="N13" s="7">
        <f>IF(F13=0,"",G13/F13-1)</f>
        <v/>
      </c>
      <c r="O13" s="7">
        <f>IF(G13=0,"",I13/G13-1)</f>
        <v/>
      </c>
      <c r="P13" s="7">
        <f>IF(I13=0,"",J13/I13-1)</f>
        <v/>
      </c>
      <c r="Q13" s="7">
        <f>IF(I13=0,"",L13/I13-1)</f>
        <v/>
      </c>
      <c r="R13" s="5" t="inlineStr">
        <is>
          <t>تذبذب عالٍ – راجع التوقع</t>
        </is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 t="inlineStr">
        <is>
          <t>نشط</t>
        </is>
      </c>
      <c r="E14" s="6" t="n">
        <v>75066033.04000001</v>
      </c>
      <c r="F14" s="6" t="n">
        <v>142202773.54</v>
      </c>
      <c r="G14" s="6" t="n">
        <v>105455179.58</v>
      </c>
      <c r="H14" s="6" t="n">
        <v>80723092.94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IF(D14="متوقف",0,MAX(-الافتراضات!$B$6,MIN(الافتراضات!$B$6,0.185256)))</f>
        <v/>
      </c>
      <c r="L14" s="6">
        <f>I14*(1+K14)</f>
        <v/>
      </c>
      <c r="M14" s="7">
        <f>IF(E14=0,"",F14/E14-1)</f>
        <v/>
      </c>
      <c r="N14" s="7">
        <f>IF(F14=0,"",G14/F14-1)</f>
        <v/>
      </c>
      <c r="O14" s="7">
        <f>IF(G14=0,"",I14/G14-1)</f>
        <v/>
      </c>
      <c r="P14" s="7">
        <f>IF(I14=0,"",J14/I14-1)</f>
        <v/>
      </c>
      <c r="Q14" s="7">
        <f>IF(I14=0,"",L14/I14-1)</f>
        <v/>
      </c>
      <c r="R14" s="5" t="inlineStr"/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 t="inlineStr">
        <is>
          <t>نشط</t>
        </is>
      </c>
      <c r="E15" s="6" t="n">
        <v>83027851.53</v>
      </c>
      <c r="F15" s="6" t="n">
        <v>89269940.62</v>
      </c>
      <c r="G15" s="6" t="n">
        <v>80988493.83</v>
      </c>
      <c r="H15" s="6" t="n">
        <v>79213506.2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IF(D15="متوقف",0,MAX(-الافتراضات!$B$6,MIN(الافتراضات!$B$6,-0.012358)))</f>
        <v/>
      </c>
      <c r="L15" s="6">
        <f>I15*(1+K15)</f>
        <v/>
      </c>
      <c r="M15" s="7">
        <f>IF(E15=0,"",F15/E15-1)</f>
        <v/>
      </c>
      <c r="N15" s="7">
        <f>IF(F15=0,"",G15/F15-1)</f>
        <v/>
      </c>
      <c r="O15" s="7">
        <f>IF(G15=0,"",I15/G15-1)</f>
        <v/>
      </c>
      <c r="P15" s="7">
        <f>IF(I15=0,"",J15/I15-1)</f>
        <v/>
      </c>
      <c r="Q15" s="7">
        <f>IF(I15=0,"",L15/I15-1)</f>
        <v/>
      </c>
      <c r="R15" s="5" t="inlineStr"/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66884899.97</v>
      </c>
      <c r="F16" s="6" t="n">
        <v>65467285.9</v>
      </c>
      <c r="G16" s="6" t="n">
        <v>634736.47</v>
      </c>
      <c r="H16" s="6" t="n">
        <v>1350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IF(D16="متوقف",0,MAX(-الافتراضات!$B$6,MIN(الافتراضات!$B$6,-0.902583)))</f>
        <v/>
      </c>
      <c r="L16" s="6">
        <f>I16*(1+K16)</f>
        <v/>
      </c>
      <c r="M16" s="7">
        <f>IF(E16=0,"",F16/E16-1)</f>
        <v/>
      </c>
      <c r="N16" s="7">
        <f>IF(F16=0,"",G16/F16-1)</f>
        <v/>
      </c>
      <c r="O16" s="7">
        <f>IF(G16=0,"",I16/G16-1)</f>
        <v/>
      </c>
      <c r="P16" s="7">
        <f>IF(I16=0,"",J16/I16-1)</f>
        <v/>
      </c>
      <c r="Q16" s="7">
        <f>IF(I16=0,"",L16/I16-1)</f>
        <v/>
      </c>
      <c r="R16" s="5" t="inlineStr"/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4422269.64</v>
      </c>
      <c r="F17" s="6" t="n">
        <v>19704385.4</v>
      </c>
      <c r="G17" s="6" t="n">
        <v>26909388.87</v>
      </c>
      <c r="H17" s="6" t="n">
        <v>34133807.25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IF(D17="متوقف",0,MAX(-الافتراضات!$B$6,MIN(الافتراضات!$B$6,1.466774)))</f>
        <v/>
      </c>
      <c r="L17" s="6">
        <f>I17*(1+K17)</f>
        <v/>
      </c>
      <c r="M17" s="7">
        <f>IF(E17=0,"",F17/E17-1)</f>
        <v/>
      </c>
      <c r="N17" s="7">
        <f>IF(F17=0,"",G17/F17-1)</f>
        <v/>
      </c>
      <c r="O17" s="7">
        <f>IF(G17=0,"",I17/G17-1)</f>
        <v/>
      </c>
      <c r="P17" s="7">
        <f>IF(I17=0,"",J17/I17-1)</f>
        <v/>
      </c>
      <c r="Q17" s="7">
        <f>IF(I17=0,"",L17/I17-1)</f>
        <v/>
      </c>
      <c r="R17" s="5" t="inlineStr"/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21268656.03</v>
      </c>
      <c r="F18" s="6" t="n">
        <v>13869671.08</v>
      </c>
      <c r="G18" s="6" t="n">
        <v>26299399.74</v>
      </c>
      <c r="H18" s="6" t="n">
        <v>21634358.52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IF(D18="متوقف",0,MAX(-الافتراضات!$B$6,MIN(الافتراضات!$B$6,0.111995)))</f>
        <v/>
      </c>
      <c r="L18" s="6">
        <f>I18*(1+K18)</f>
        <v/>
      </c>
      <c r="M18" s="7">
        <f>IF(E18=0,"",F18/E18-1)</f>
        <v/>
      </c>
      <c r="N18" s="7">
        <f>IF(F18=0,"",G18/F18-1)</f>
        <v/>
      </c>
      <c r="O18" s="7">
        <f>IF(G18=0,"",I18/G18-1)</f>
        <v/>
      </c>
      <c r="P18" s="7">
        <f>IF(I18=0,"",J18/I18-1)</f>
        <v/>
      </c>
      <c r="Q18" s="7">
        <f>IF(I18=0,"",L18/I18-1)</f>
        <v/>
      </c>
      <c r="R18" s="5" t="inlineStr"/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 t="inlineStr">
        <is>
          <t>نشط</t>
        </is>
      </c>
      <c r="E19" s="6" t="n">
        <v>16987800</v>
      </c>
      <c r="F19" s="6" t="n">
        <v>18210000</v>
      </c>
      <c r="G19" s="6" t="n">
        <v>16212478.8</v>
      </c>
      <c r="H19" s="6" t="n">
        <v>14308008.01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IF(D19="متوقف",0,MAX(-الافتراضات!$B$6,MIN(الافتراضات!$B$6,-0.023086)))</f>
        <v/>
      </c>
      <c r="L19" s="6">
        <f>I19*(1+K19)</f>
        <v/>
      </c>
      <c r="M19" s="7">
        <f>IF(E19=0,"",F19/E19-1)</f>
        <v/>
      </c>
      <c r="N19" s="7">
        <f>IF(F19=0,"",G19/F19-1)</f>
        <v/>
      </c>
      <c r="O19" s="7">
        <f>IF(G19=0,"",I19/G19-1)</f>
        <v/>
      </c>
      <c r="P19" s="7">
        <f>IF(I19=0,"",J19/I19-1)</f>
        <v/>
      </c>
      <c r="Q19" s="7">
        <f>IF(I19=0,"",L19/I19-1)</f>
        <v/>
      </c>
      <c r="R19" s="5" t="inlineStr"/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 t="inlineStr">
        <is>
          <t>نشط</t>
        </is>
      </c>
      <c r="E20" s="6" t="n">
        <v>4860068.75</v>
      </c>
      <c r="F20" s="6" t="n">
        <v>14420133.75</v>
      </c>
      <c r="G20" s="6" t="n">
        <v>22037760</v>
      </c>
      <c r="H20" s="6" t="n">
        <v>21837837.5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IF(D20="متوقف",0,MAX(-الافتراضات!$B$6,MIN(الافتراضات!$B$6,1.129426)))</f>
        <v/>
      </c>
      <c r="L20" s="6">
        <f>I20*(1+K20)</f>
        <v/>
      </c>
      <c r="M20" s="7">
        <f>IF(E20=0,"",F20/E20-1)</f>
        <v/>
      </c>
      <c r="N20" s="7">
        <f>IF(F20=0,"",G20/F20-1)</f>
        <v/>
      </c>
      <c r="O20" s="7">
        <f>IF(G20=0,"",I20/G20-1)</f>
        <v/>
      </c>
      <c r="P20" s="7">
        <f>IF(I20=0,"",J20/I20-1)</f>
        <v/>
      </c>
      <c r="Q20" s="7">
        <f>IF(I20=0,"",L20/I20-1)</f>
        <v/>
      </c>
      <c r="R20" s="5" t="inlineStr"/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 t="inlineStr">
        <is>
          <t>نشط</t>
        </is>
      </c>
      <c r="E21" s="6" t="n">
        <v>9048255.93</v>
      </c>
      <c r="F21" s="6" t="n">
        <v>7544256.25</v>
      </c>
      <c r="G21" s="6" t="n">
        <v>4918746.75</v>
      </c>
      <c r="H21" s="6" t="n">
        <v>12310614.76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IF(D21="متوقف",0,MAX(-الافتراضات!$B$6,MIN(الافتراضات!$B$6,-0.262699)))</f>
        <v/>
      </c>
      <c r="L21" s="6">
        <f>I21*(1+K21)</f>
        <v/>
      </c>
      <c r="M21" s="7">
        <f>IF(E21=0,"",F21/E21-1)</f>
        <v/>
      </c>
      <c r="N21" s="7">
        <f>IF(F21=0,"",G21/F21-1)</f>
        <v/>
      </c>
      <c r="O21" s="7">
        <f>IF(G21=0,"",I21/G21-1)</f>
        <v/>
      </c>
      <c r="P21" s="7">
        <f>IF(I21=0,"",J21/I21-1)</f>
        <v/>
      </c>
      <c r="Q21" s="7">
        <f>IF(I21=0,"",L21/I21-1)</f>
        <v/>
      </c>
      <c r="R21" s="5" t="inlineStr">
        <is>
          <t>تذبذب عالٍ – راجع التوقع</t>
        </is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 t="inlineStr">
        <is>
          <t>نشط</t>
        </is>
      </c>
      <c r="E22" s="6" t="n">
        <v>9597160.08</v>
      </c>
      <c r="F22" s="6" t="n">
        <v>9593369.65</v>
      </c>
      <c r="G22" s="6" t="n">
        <v>7704211.79</v>
      </c>
      <c r="H22" s="6" t="n">
        <v>6331998.45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IF(D22="متوقف",0,MAX(-الافتراضات!$B$6,MIN(الافتراضات!$B$6,-0.104032)))</f>
        <v/>
      </c>
      <c r="L22" s="6">
        <f>I22*(1+K22)</f>
        <v/>
      </c>
      <c r="M22" s="7">
        <f>IF(E22=0,"",F22/E22-1)</f>
        <v/>
      </c>
      <c r="N22" s="7">
        <f>IF(F22=0,"",G22/F22-1)</f>
        <v/>
      </c>
      <c r="O22" s="7">
        <f>IF(G22=0,"",I22/G22-1)</f>
        <v/>
      </c>
      <c r="P22" s="7">
        <f>IF(I22=0,"",J22/I22-1)</f>
        <v/>
      </c>
      <c r="Q22" s="7">
        <f>IF(I22=0,"",L22/I22-1)</f>
        <v/>
      </c>
      <c r="R22" s="5" t="inlineStr"/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6077736.7</v>
      </c>
      <c r="F23" s="6" t="n">
        <v>5228065.19</v>
      </c>
      <c r="G23" s="6" t="n">
        <v>6051210.16</v>
      </c>
      <c r="H23" s="6" t="n">
        <v>12106223.42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IF(D23="متوقف",0,MAX(-الافتراضات!$B$6,MIN(الافتراضات!$B$6,-0.002185)))</f>
        <v/>
      </c>
      <c r="L23" s="6">
        <f>I23*(1+K23)</f>
        <v/>
      </c>
      <c r="M23" s="7">
        <f>IF(E23=0,"",F23/E23-1)</f>
        <v/>
      </c>
      <c r="N23" s="7">
        <f>IF(F23=0,"",G23/F23-1)</f>
        <v/>
      </c>
      <c r="O23" s="7">
        <f>IF(G23=0,"",I23/G23-1)</f>
        <v/>
      </c>
      <c r="P23" s="7">
        <f>IF(I23=0,"",J23/I23-1)</f>
        <v/>
      </c>
      <c r="Q23" s="7">
        <f>IF(I23=0,"",L23/I23-1)</f>
        <v/>
      </c>
      <c r="R23" s="5" t="inlineStr">
        <is>
          <t>تذبذب عالٍ – راجع التوقع</t>
        </is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3853581.36</v>
      </c>
      <c r="F24" s="6" t="n">
        <v>2946421.81</v>
      </c>
      <c r="G24" s="6" t="n">
        <v>3566627.43</v>
      </c>
      <c r="H24" s="6" t="n">
        <v>3660790.62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IF(D24="متوقف",0,MAX(-الافتراضات!$B$6,MIN(الافتراضات!$B$6,-0.037952)))</f>
        <v/>
      </c>
      <c r="L24" s="6">
        <f>I24*(1+K24)</f>
        <v/>
      </c>
      <c r="M24" s="7">
        <f>IF(E24=0,"",F24/E24-1)</f>
        <v/>
      </c>
      <c r="N24" s="7">
        <f>IF(F24=0,"",G24/F24-1)</f>
        <v/>
      </c>
      <c r="O24" s="7">
        <f>IF(G24=0,"",I24/G24-1)</f>
        <v/>
      </c>
      <c r="P24" s="7">
        <f>IF(I24=0,"",J24/I24-1)</f>
        <v/>
      </c>
      <c r="Q24" s="7">
        <f>IF(I24=0,"",L24/I24-1)</f>
        <v/>
      </c>
      <c r="R24" s="5" t="inlineStr"/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 t="inlineStr">
        <is>
          <t>نشط</t>
        </is>
      </c>
      <c r="E25" s="6" t="n">
        <v>3537100</v>
      </c>
      <c r="F25" s="6" t="n">
        <v>256186</v>
      </c>
      <c r="G25" s="6" t="n">
        <v>8503508</v>
      </c>
      <c r="H25" s="6" t="n">
        <v>519000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IF(D25="متوقف",0,MAX(-الافتراضات!$B$6,MIN(الافتراضات!$B$6,0.550513)))</f>
        <v/>
      </c>
      <c r="L25" s="6">
        <f>I25*(1+K25)</f>
        <v/>
      </c>
      <c r="M25" s="7">
        <f>IF(E25=0,"",F25/E25-1)</f>
        <v/>
      </c>
      <c r="N25" s="7">
        <f>IF(F25=0,"",G25/F25-1)</f>
        <v/>
      </c>
      <c r="O25" s="7">
        <f>IF(G25=0,"",I25/G25-1)</f>
        <v/>
      </c>
      <c r="P25" s="7">
        <f>IF(I25=0,"",J25/I25-1)</f>
        <v/>
      </c>
      <c r="Q25" s="7">
        <f>IF(I25=0,"",L25/I25-1)</f>
        <v/>
      </c>
      <c r="R25" s="5" t="inlineStr">
        <is>
          <t>تذبذب عالٍ – راجع التوقع</t>
        </is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 t="inlineStr">
        <is>
          <t>نشط</t>
        </is>
      </c>
      <c r="E26" s="6" t="n">
        <v>2945006</v>
      </c>
      <c r="F26" s="6" t="n">
        <v>2753795</v>
      </c>
      <c r="G26" s="6" t="n">
        <v>2520477</v>
      </c>
      <c r="H26" s="6" t="n">
        <v>1860236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IF(D26="متوقف",0,MAX(-الافتراضات!$B$6,MIN(الافتراضات!$B$6,-0.074880)))</f>
        <v/>
      </c>
      <c r="L26" s="6">
        <f>I26*(1+K26)</f>
        <v/>
      </c>
      <c r="M26" s="7">
        <f>IF(E26=0,"",F26/E26-1)</f>
        <v/>
      </c>
      <c r="N26" s="7">
        <f>IF(F26=0,"",G26/F26-1)</f>
        <v/>
      </c>
      <c r="O26" s="7">
        <f>IF(G26=0,"",I26/G26-1)</f>
        <v/>
      </c>
      <c r="P26" s="7">
        <f>IF(I26=0,"",J26/I26-1)</f>
        <v/>
      </c>
      <c r="Q26" s="7">
        <f>IF(I26=0,"",L26/I26-1)</f>
        <v/>
      </c>
      <c r="R26" s="5" t="inlineStr"/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 t="inlineStr">
        <is>
          <t>نشط</t>
        </is>
      </c>
      <c r="E27" s="6" t="n">
        <v>0</v>
      </c>
      <c r="F27" s="6" t="n">
        <v>0</v>
      </c>
      <c r="G27" s="6" t="n">
        <v>8083209.81</v>
      </c>
      <c r="H27" s="6" t="n">
        <v>302027.65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IF(D27="متوقف",0,MAX(-الافتراضات!$B$6,MIN(الافتراضات!$B$6,0.000000)))</f>
        <v/>
      </c>
      <c r="L27" s="6">
        <f>I27*(1+K27)</f>
        <v/>
      </c>
      <c r="M27" s="7">
        <f>IF(E27=0,"",F27/E27-1)</f>
        <v/>
      </c>
      <c r="N27" s="7">
        <f>IF(F27=0,"",G27/F27-1)</f>
        <v/>
      </c>
      <c r="O27" s="7">
        <f>IF(G27=0,"",I27/G27-1)</f>
        <v/>
      </c>
      <c r="P27" s="7">
        <f>IF(I27=0,"",J27/I27-1)</f>
        <v/>
      </c>
      <c r="Q27" s="7">
        <f>IF(I27=0,"",L27/I27-1)</f>
        <v/>
      </c>
      <c r="R27" s="5" t="inlineStr">
        <is>
          <t>تذبذب عالٍ – راجع التوقع</t>
        </is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 t="inlineStr">
        <is>
          <t>نشط</t>
        </is>
      </c>
      <c r="E28" s="6" t="n">
        <v>6881203</v>
      </c>
      <c r="F28" s="6" t="n">
        <v>486100</v>
      </c>
      <c r="G28" s="6" t="n">
        <v>352900</v>
      </c>
      <c r="H28" s="6" t="n">
        <v>59500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IF(D28="متوقف",0,MAX(-الافتراضات!$B$6,MIN(الافتراضات!$B$6,-0.773539)))</f>
        <v/>
      </c>
      <c r="L28" s="6">
        <f>I28*(1+K28)</f>
        <v/>
      </c>
      <c r="M28" s="7">
        <f>IF(E28=0,"",F28/E28-1)</f>
        <v/>
      </c>
      <c r="N28" s="7">
        <f>IF(F28=0,"",G28/F28-1)</f>
        <v/>
      </c>
      <c r="O28" s="7">
        <f>IF(G28=0,"",I28/G28-1)</f>
        <v/>
      </c>
      <c r="P28" s="7">
        <f>IF(I28=0,"",J28/I28-1)</f>
        <v/>
      </c>
      <c r="Q28" s="7">
        <f>IF(I28=0,"",L28/I28-1)</f>
        <v/>
      </c>
      <c r="R28" s="5" t="inlineStr"/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 t="inlineStr">
        <is>
          <t>نشط</t>
        </is>
      </c>
      <c r="E29" s="6" t="n">
        <v>838420.1899999999</v>
      </c>
      <c r="F29" s="6" t="n">
        <v>2053263.42</v>
      </c>
      <c r="G29" s="6" t="n">
        <v>2460303.51</v>
      </c>
      <c r="H29" s="6" t="n">
        <v>1447854.96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IF(D29="متوقف",0,MAX(-الافتراضات!$B$6,MIN(الافتراضات!$B$6,0.713024)))</f>
        <v/>
      </c>
      <c r="L29" s="6">
        <f>I29*(1+K29)</f>
        <v/>
      </c>
      <c r="M29" s="7">
        <f>IF(E29=0,"",F29/E29-1)</f>
        <v/>
      </c>
      <c r="N29" s="7">
        <f>IF(F29=0,"",G29/F29-1)</f>
        <v/>
      </c>
      <c r="O29" s="7">
        <f>IF(G29=0,"",I29/G29-1)</f>
        <v/>
      </c>
      <c r="P29" s="7">
        <f>IF(I29=0,"",J29/I29-1)</f>
        <v/>
      </c>
      <c r="Q29" s="7">
        <f>IF(I29=0,"",L29/I29-1)</f>
        <v/>
      </c>
      <c r="R29" s="5" t="inlineStr"/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 t="inlineStr">
        <is>
          <t>نشط</t>
        </is>
      </c>
      <c r="E30" s="6" t="n">
        <v>1007100</v>
      </c>
      <c r="F30" s="6" t="n">
        <v>1570100</v>
      </c>
      <c r="G30" s="6" t="n">
        <v>1590000</v>
      </c>
      <c r="H30" s="6" t="n">
        <v>476400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IF(D30="متوقف",0,MAX(-الافتراضات!$B$6,MIN(الافتراضات!$B$6,0.256499)))</f>
        <v/>
      </c>
      <c r="L30" s="6">
        <f>I30*(1+K30)</f>
        <v/>
      </c>
      <c r="M30" s="7">
        <f>IF(E30=0,"",F30/E30-1)</f>
        <v/>
      </c>
      <c r="N30" s="7">
        <f>IF(F30=0,"",G30/F30-1)</f>
        <v/>
      </c>
      <c r="O30" s="7">
        <f>IF(G30=0,"",I30/G30-1)</f>
        <v/>
      </c>
      <c r="P30" s="7">
        <f>IF(I30=0,"",J30/I30-1)</f>
        <v/>
      </c>
      <c r="Q30" s="7">
        <f>IF(I30=0,"",L30/I30-1)</f>
        <v/>
      </c>
      <c r="R30" s="5" t="inlineStr"/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975004.05</v>
      </c>
      <c r="F31" s="6" t="n">
        <v>1038789.25</v>
      </c>
      <c r="G31" s="6" t="n">
        <v>1014443.22</v>
      </c>
      <c r="H31" s="6" t="n">
        <v>646845.12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IF(D31="متوقف",0,MAX(-الافتراضات!$B$6,MIN(الافتراضات!$B$6,0.020025)))</f>
        <v/>
      </c>
      <c r="L31" s="6">
        <f>I31*(1+K31)</f>
        <v/>
      </c>
      <c r="M31" s="7">
        <f>IF(E31=0,"",F31/E31-1)</f>
        <v/>
      </c>
      <c r="N31" s="7">
        <f>IF(F31=0,"",G31/F31-1)</f>
        <v/>
      </c>
      <c r="O31" s="7">
        <f>IF(G31=0,"",I31/G31-1)</f>
        <v/>
      </c>
      <c r="P31" s="7">
        <f>IF(I31=0,"",J31/I31-1)</f>
        <v/>
      </c>
      <c r="Q31" s="7">
        <f>IF(I31=0,"",L31/I31-1)</f>
        <v/>
      </c>
      <c r="R31" s="5" t="inlineStr"/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 t="inlineStr">
        <is>
          <t>نشط</t>
        </is>
      </c>
      <c r="E32" s="6" t="n">
        <v>1110572</v>
      </c>
      <c r="F32" s="6" t="n">
        <v>2220000</v>
      </c>
      <c r="G32" s="6" t="n">
        <v>30000</v>
      </c>
      <c r="H32" s="6" t="n">
        <v>60000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IF(D32="متوقف",0,MAX(-الافتراضات!$B$6,MIN(الافتراضات!$B$6,-0.835643)))</f>
        <v/>
      </c>
      <c r="L32" s="6">
        <f>I32*(1+K32)</f>
        <v/>
      </c>
      <c r="M32" s="7">
        <f>IF(E32=0,"",F32/E32-1)</f>
        <v/>
      </c>
      <c r="N32" s="7">
        <f>IF(F32=0,"",G32/F32-1)</f>
        <v/>
      </c>
      <c r="O32" s="7">
        <f>IF(G32=0,"",I32/G32-1)</f>
        <v/>
      </c>
      <c r="P32" s="7">
        <f>IF(I32=0,"",J32/I32-1)</f>
        <v/>
      </c>
      <c r="Q32" s="7">
        <f>IF(I32=0,"",L32/I32-1)</f>
        <v/>
      </c>
      <c r="R32" s="5" t="inlineStr"/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 t="inlineStr">
        <is>
          <t>نشط</t>
        </is>
      </c>
      <c r="E33" s="6" t="n">
        <v>1311574.5</v>
      </c>
      <c r="F33" s="6" t="n">
        <v>1330639.22</v>
      </c>
      <c r="G33" s="6" t="n">
        <v>592396.73</v>
      </c>
      <c r="H33" s="6" t="n">
        <v>100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IF(D33="متوقف",0,MAX(-الافتراضات!$B$6,MIN(الافتراضات!$B$6,-0.327937)))</f>
        <v/>
      </c>
      <c r="L33" s="6">
        <f>I33*(1+K33)</f>
        <v/>
      </c>
      <c r="M33" s="7">
        <f>IF(E33=0,"",F33/E33-1)</f>
        <v/>
      </c>
      <c r="N33" s="7">
        <f>IF(F33=0,"",G33/F33-1)</f>
        <v/>
      </c>
      <c r="O33" s="7">
        <f>IF(G33=0,"",I33/G33-1)</f>
        <v/>
      </c>
      <c r="P33" s="7">
        <f>IF(I33=0,"",J33/I33-1)</f>
        <v/>
      </c>
      <c r="Q33" s="7">
        <f>IF(I33=0,"",L33/I33-1)</f>
        <v/>
      </c>
      <c r="R33" s="5" t="inlineStr"/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54000</v>
      </c>
      <c r="F34" s="6" t="n">
        <v>92000</v>
      </c>
      <c r="G34" s="6" t="n">
        <v>236273.52</v>
      </c>
      <c r="H34" s="6" t="n">
        <v>200184.61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IF(D34="متوقف",0,MAX(-الافتراضات!$B$6,MIN(الافتراضات!$B$6,1.091754)))</f>
        <v/>
      </c>
      <c r="L34" s="6">
        <f>I34*(1+K34)</f>
        <v/>
      </c>
      <c r="M34" s="7">
        <f>IF(E34=0,"",F34/E34-1)</f>
        <v/>
      </c>
      <c r="N34" s="7">
        <f>IF(F34=0,"",G34/F34-1)</f>
        <v/>
      </c>
      <c r="O34" s="7">
        <f>IF(G34=0,"",I34/G34-1)</f>
        <v/>
      </c>
      <c r="P34" s="7">
        <f>IF(I34=0,"",J34/I34-1)</f>
        <v/>
      </c>
      <c r="Q34" s="7">
        <f>IF(I34=0,"",L34/I34-1)</f>
        <v/>
      </c>
      <c r="R34" s="5" t="inlineStr"/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 t="inlineStr">
        <is>
          <t>نشط</t>
        </is>
      </c>
      <c r="E35" s="6" t="n">
        <v>0</v>
      </c>
      <c r="F35" s="6" t="n">
        <v>0</v>
      </c>
      <c r="G35" s="6" t="n">
        <v>152767.79</v>
      </c>
      <c r="H35" s="6" t="n">
        <v>361665.23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IF(D35="متوقف",0,MAX(-الافتراضات!$B$6,MIN(الافتراضات!$B$6,0.000000)))</f>
        <v/>
      </c>
      <c r="L35" s="6">
        <f>I35*(1+K35)</f>
        <v/>
      </c>
      <c r="M35" s="7">
        <f>IF(E35=0,"",F35/E35-1)</f>
        <v/>
      </c>
      <c r="N35" s="7">
        <f>IF(F35=0,"",G35/F35-1)</f>
        <v/>
      </c>
      <c r="O35" s="7">
        <f>IF(G35=0,"",I35/G35-1)</f>
        <v/>
      </c>
      <c r="P35" s="7">
        <f>IF(I35=0,"",J35/I35-1)</f>
        <v/>
      </c>
      <c r="Q35" s="7">
        <f>IF(I35=0,"",L35/I35-1)</f>
        <v/>
      </c>
      <c r="R35" s="5" t="inlineStr"/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 t="inlineStr">
        <is>
          <t>متوقف</t>
        </is>
      </c>
      <c r="E36" s="6" t="n">
        <v>27000</v>
      </c>
      <c r="F36" s="6" t="n">
        <v>5167</v>
      </c>
      <c r="G36" s="6" t="n">
        <v>72000</v>
      </c>
      <c r="H36" s="6" t="n">
        <v>0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IF(D36="متوقف",0,MAX(-الافتراضات!$B$6,MIN(الافتراضات!$B$6,0.632993)))</f>
        <v/>
      </c>
      <c r="L36" s="6">
        <f>I36*(1+K36)</f>
        <v/>
      </c>
      <c r="M36" s="7">
        <f>IF(E36=0,"",F36/E36-1)</f>
        <v/>
      </c>
      <c r="N36" s="7">
        <f>IF(F36=0,"",G36/F36-1)</f>
        <v/>
      </c>
      <c r="O36" s="7">
        <f>IF(G36=0,"",I36/G36-1)</f>
        <v/>
      </c>
      <c r="P36" s="7">
        <f>IF(I36=0,"",J36/I36-1)</f>
        <v/>
      </c>
      <c r="Q36" s="7">
        <f>IF(I36=0,"",L36/I36-1)</f>
        <v/>
      </c>
      <c r="R36" s="5" t="inlineStr">
        <is>
          <t>متوقف في 2026 – توقعه صفر</t>
        </is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 t="inlineStr">
        <is>
          <t>نشط</t>
        </is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IF(D37="متوقف",0,MAX(-الافتراضات!$B$6,MIN(الافتراضات!$B$6,-0.846127)))</f>
        <v/>
      </c>
      <c r="L37" s="6">
        <f>I37*(1+K37)</f>
        <v/>
      </c>
      <c r="M37" s="7">
        <f>IF(E37=0,"",F37/E37-1)</f>
        <v/>
      </c>
      <c r="N37" s="7">
        <f>IF(F37=0,"",G37/F37-1)</f>
        <v/>
      </c>
      <c r="O37" s="7">
        <f>IF(G37=0,"",I37/G37-1)</f>
        <v/>
      </c>
      <c r="P37" s="7">
        <f>IF(I37=0,"",J37/I37-1)</f>
        <v/>
      </c>
      <c r="Q37" s="7">
        <f>IF(I37=0,"",L37/I37-1)</f>
        <v/>
      </c>
      <c r="R37" s="5" t="inlineStr"/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 t="inlineStr">
        <is>
          <t>نشط</t>
        </is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IF(D38="متوقف",0,MAX(-الافتراضات!$B$6,MIN(الافتراضات!$B$6,-0.597397)))</f>
        <v/>
      </c>
      <c r="L38" s="6">
        <f>I38*(1+K38)</f>
        <v/>
      </c>
      <c r="M38" s="7">
        <f>IF(E38=0,"",F38/E38-1)</f>
        <v/>
      </c>
      <c r="N38" s="7">
        <f>IF(F38=0,"",G38/F38-1)</f>
        <v/>
      </c>
      <c r="O38" s="7">
        <f>IF(G38=0,"",I38/G38-1)</f>
        <v/>
      </c>
      <c r="P38" s="7">
        <f>IF(I38=0,"",J38/I38-1)</f>
        <v/>
      </c>
      <c r="Q38" s="7">
        <f>IF(I38=0,"",L38/I38-1)</f>
        <v/>
      </c>
      <c r="R38" s="5" t="inlineStr"/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0</v>
      </c>
      <c r="F39" s="6" t="n">
        <v>0</v>
      </c>
      <c r="G39" s="6" t="n">
        <v>21950</v>
      </c>
      <c r="H39" s="6" t="n">
        <v>6350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IF(D39="متوقف",0,MAX(-الافتراضات!$B$6,MIN(الافتراضات!$B$6,0.000000)))</f>
        <v/>
      </c>
      <c r="L39" s="6">
        <f>I39*(1+K39)</f>
        <v/>
      </c>
      <c r="M39" s="7">
        <f>IF(E39=0,"",F39/E39-1)</f>
        <v/>
      </c>
      <c r="N39" s="7">
        <f>IF(F39=0,"",G39/F39-1)</f>
        <v/>
      </c>
      <c r="O39" s="7">
        <f>IF(G39=0,"",I39/G39-1)</f>
        <v/>
      </c>
      <c r="P39" s="7">
        <f>IF(I39=0,"",J39/I39-1)</f>
        <v/>
      </c>
      <c r="Q39" s="7">
        <f>IF(I39=0,"",L39/I39-1)</f>
        <v/>
      </c>
      <c r="R39" s="5" t="inlineStr"/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 t="inlineStr">
        <is>
          <t>متوقف</t>
        </is>
      </c>
      <c r="E40" s="6" t="n">
        <v>16385</v>
      </c>
      <c r="F40" s="6" t="n">
        <v>0</v>
      </c>
      <c r="G40" s="6" t="n">
        <v>0</v>
      </c>
      <c r="H40" s="6" t="n">
        <v>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IF(E40=0,"",F40/E40-1)</f>
        <v/>
      </c>
      <c r="N40" s="7">
        <f>IF(F40=0,"",G40/F40-1)</f>
        <v/>
      </c>
      <c r="O40" s="7">
        <f>IF(G40=0,"",I40/G40-1)</f>
        <v/>
      </c>
      <c r="P40" s="7">
        <f>IF(I40=0,"",J40/I40-1)</f>
        <v/>
      </c>
      <c r="Q40" s="7">
        <f>IF(I40=0,"",L40/I40-1)</f>
        <v/>
      </c>
      <c r="R40" s="5" t="inlineStr">
        <is>
          <t>متوقف في 2026 – توقعه صفر</t>
        </is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0</v>
      </c>
      <c r="F41" s="6" t="n">
        <v>0</v>
      </c>
      <c r="G41" s="6" t="n">
        <v>6000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IF(E41=0,"",F41/E41-1)</f>
        <v/>
      </c>
      <c r="N41" s="7">
        <f>IF(F41=0,"",G41/F41-1)</f>
        <v/>
      </c>
      <c r="O41" s="7">
        <f>IF(G41=0,"",I41/G41-1)</f>
        <v/>
      </c>
      <c r="P41" s="7">
        <f>IF(I41=0,"",J41/I41-1)</f>
        <v/>
      </c>
      <c r="Q41" s="7">
        <f>IF(I41=0,"",L41/I41-1)</f>
        <v/>
      </c>
      <c r="R41" s="5" t="inlineStr">
        <is>
          <t>متوقف في 2026 – توقعه صفر</t>
        </is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10">
        <f>L42/I42-1</f>
        <v/>
      </c>
      <c r="L42" s="9">
        <f>SUM(L4:L41)</f>
        <v/>
      </c>
      <c r="M42" s="10">
        <f>IF(E42=0,"",F42/E42-1)</f>
        <v/>
      </c>
      <c r="N42" s="10">
        <f>IF(F42=0,"",G42/F42-1)</f>
        <v/>
      </c>
      <c r="O42" s="10">
        <f>IF(G42=0,"",I42/G42-1)</f>
        <v/>
      </c>
      <c r="P42" s="10">
        <f>IF(I42=0,"",J42/I42-1)</f>
        <v/>
      </c>
      <c r="Q42" s="10">
        <f>IF(I42=0,"",L42/I42-1)</f>
        <v/>
      </c>
      <c r="R42" s="8" t="n"/>
    </row>
  </sheetData>
  <autoFilter ref="A3:R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SUMIF(التوقعات!$C$4:$C$41,$A4,التوقعات!E$4:E$41)</f>
        <v/>
      </c>
      <c r="C4" s="6">
        <f>SUMIF(التوقعات!$C$4:$C$41,$A4,التوقعات!F$4:F$41)</f>
        <v/>
      </c>
      <c r="D4" s="6">
        <f>SUMIF(التوقعات!$C$4:$C$41,$A4,التوقعات!G$4:G$41)</f>
        <v/>
      </c>
      <c r="E4" s="6">
        <f>SUMIF(التوقعات!$C$4:$C$41,$A4,التوقعات!H$4:H$41)</f>
        <v/>
      </c>
      <c r="F4" s="6">
        <f>SUMIF(التوقعات!$C$4:$C$41,$A4,التوقعات!I$4:I$41)</f>
        <v/>
      </c>
      <c r="G4" s="6">
        <f>SUMIF(التوقعات!$C$4:$C$41,$A4,التوقعات!J$4:J$41)</f>
        <v/>
      </c>
      <c r="H4" s="6">
        <f>SUMIF(التوقعات!$C$4:$C$41,$A4,التوقعات!L$4:L$41)</f>
        <v/>
      </c>
    </row>
    <row r="5">
      <c r="A5" s="5" t="inlineStr">
        <is>
          <t>إيرادات إستثمارية</t>
        </is>
      </c>
      <c r="B5" s="6">
        <f>SUMIF(التوقعات!$C$4:$C$41,$A5,التوقعات!E$4:E$41)</f>
        <v/>
      </c>
      <c r="C5" s="6">
        <f>SUMIF(التوقعات!$C$4:$C$41,$A5,التوقعات!F$4:F$41)</f>
        <v/>
      </c>
      <c r="D5" s="6">
        <f>SUMIF(التوقعات!$C$4:$C$41,$A5,التوقعات!G$4:G$41)</f>
        <v/>
      </c>
      <c r="E5" s="6">
        <f>SUMIF(التوقعات!$C$4:$C$41,$A5,التوقعات!H$4:H$41)</f>
        <v/>
      </c>
      <c r="F5" s="6">
        <f>SUMIF(التوقعات!$C$4:$C$41,$A5,التوقعات!I$4:I$41)</f>
        <v/>
      </c>
      <c r="G5" s="6">
        <f>SUMIF(التوقعات!$C$4:$C$41,$A5,التوقعات!J$4:J$41)</f>
        <v/>
      </c>
      <c r="H5" s="6">
        <f>SUMIF(التوقعات!$C$4:$C$41,$A5,التوقعات!L$4:L$41)</f>
        <v/>
      </c>
    </row>
    <row r="6">
      <c r="A6" s="5" t="inlineStr">
        <is>
          <t>جزاءات وغرامات</t>
        </is>
      </c>
      <c r="B6" s="6">
        <f>SUMIF(التوقعات!$C$4:$C$41,$A6,التوقعات!E$4:E$41)</f>
        <v/>
      </c>
      <c r="C6" s="6">
        <f>SUMIF(التوقعات!$C$4:$C$41,$A6,التوقعات!F$4:F$41)</f>
        <v/>
      </c>
      <c r="D6" s="6">
        <f>SUMIF(التوقعات!$C$4:$C$41,$A6,التوقعات!G$4:G$41)</f>
        <v/>
      </c>
      <c r="E6" s="6">
        <f>SUMIF(التوقعات!$C$4:$C$41,$A6,التوقعات!H$4:H$41)</f>
        <v/>
      </c>
      <c r="F6" s="6">
        <f>SUMIF(التوقعات!$C$4:$C$41,$A6,التوقعات!I$4:I$41)</f>
        <v/>
      </c>
      <c r="G6" s="6">
        <f>SUMIF(التوقعات!$C$4:$C$41,$A6,التوقعات!J$4:J$41)</f>
        <v/>
      </c>
      <c r="H6" s="6">
        <f>SUMIF(التوقعات!$C$4:$C$41,$A6,التوقعات!L$4:L$41)</f>
        <v/>
      </c>
    </row>
    <row r="7">
      <c r="A7" s="5" t="inlineStr">
        <is>
          <t>التبغ والإيواء</t>
        </is>
      </c>
      <c r="B7" s="6">
        <f>SUMIF(التوقعات!$C$4:$C$41,$A7,التوقعات!E$4:E$41)</f>
        <v/>
      </c>
      <c r="C7" s="6">
        <f>SUMIF(التوقعات!$C$4:$C$41,$A7,التوقعات!F$4:F$41)</f>
        <v/>
      </c>
      <c r="D7" s="6">
        <f>SUMIF(التوقعات!$C$4:$C$41,$A7,التوقعات!G$4:G$41)</f>
        <v/>
      </c>
      <c r="E7" s="6">
        <f>SUMIF(التوقعات!$C$4:$C$41,$A7,التوقعات!H$4:H$41)</f>
        <v/>
      </c>
      <c r="F7" s="6">
        <f>SUMIF(التوقعات!$C$4:$C$41,$A7,التوقعات!I$4:I$41)</f>
        <v/>
      </c>
      <c r="G7" s="6">
        <f>SUMIF(التوقعات!$C$4:$C$41,$A7,التوقعات!J$4:J$41)</f>
        <v/>
      </c>
      <c r="H7" s="6">
        <f>SUMIF(التوقعات!$C$4:$C$41,$A7,التوقعات!L$4:L$41)</f>
        <v/>
      </c>
    </row>
    <row r="8">
      <c r="A8" s="5" t="inlineStr">
        <is>
          <t>أخرى</t>
        </is>
      </c>
      <c r="B8" s="6">
        <f>SUMIF(التوقعات!$C$4:$C$41,$A8,التوقعات!E$4:E$41)</f>
        <v/>
      </c>
      <c r="C8" s="6">
        <f>SUMIF(التوقعات!$C$4:$C$41,$A8,التوقعات!F$4:F$41)</f>
        <v/>
      </c>
      <c r="D8" s="6">
        <f>SUMIF(التوقعات!$C$4:$C$41,$A8,التوقعات!G$4:G$41)</f>
        <v/>
      </c>
      <c r="E8" s="6">
        <f>SUMIF(التوقعات!$C$4:$C$41,$A8,التوقعات!H$4:H$41)</f>
        <v/>
      </c>
      <c r="F8" s="6">
        <f>SUMIF(التوقعات!$C$4:$C$41,$A8,التوقعات!I$4:I$41)</f>
        <v/>
      </c>
      <c r="G8" s="6">
        <f>SUMIF(التوقعات!$C$4:$C$41,$A8,التوقعات!J$4:J$41)</f>
        <v/>
      </c>
      <c r="H8" s="6">
        <f>SUMIF(التوقعات!$C$4:$C$41,$A8,التوقعات!L$4:L$41)</f>
        <v/>
      </c>
    </row>
    <row r="9">
      <c r="A9" s="5" t="inlineStr">
        <is>
          <t>علم / جزاءات</t>
        </is>
      </c>
      <c r="B9" s="6">
        <f>SUMIF(التوقعات!$C$4:$C$41,$A9,التوقعات!E$4:E$41)</f>
        <v/>
      </c>
      <c r="C9" s="6">
        <f>SUMIF(التوقعات!$C$4:$C$41,$A9,التوقعات!F$4:F$41)</f>
        <v/>
      </c>
      <c r="D9" s="6">
        <f>SUMIF(التوقعات!$C$4:$C$41,$A9,التوقعات!G$4:G$41)</f>
        <v/>
      </c>
      <c r="E9" s="6">
        <f>SUMIF(التوقعات!$C$4:$C$41,$A9,التوقعات!H$4:H$41)</f>
        <v/>
      </c>
      <c r="F9" s="6">
        <f>SUMIF(التوقعات!$C$4:$C$41,$A9,التوقعات!I$4:I$41)</f>
        <v/>
      </c>
      <c r="G9" s="6">
        <f>SUMIF(التوقعات!$C$4:$C$41,$A9,التوقعات!J$4:J$41)</f>
        <v/>
      </c>
      <c r="H9" s="6">
        <f>SUMIF(التوقعات!$C$4:$C$41,$A9,التوقعات!L$4:L$41)</f>
        <v/>
      </c>
    </row>
    <row r="10">
      <c r="A10" s="8" t="inlineStr">
        <is>
          <t>الإجمالي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  <c r="G10" s="9">
        <f>SUM(G4:G9)</f>
        <v/>
      </c>
      <c r="H10" s="9">
        <f>SUM(H4:H9)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6" t="n">
        <v>9219073.48</v>
      </c>
      <c r="D13" s="6" t="n">
        <v>13582347.46</v>
      </c>
      <c r="E13" s="6" t="n">
        <v>78828800.53</v>
      </c>
      <c r="F13" s="6" t="n">
        <v>297191478.48</v>
      </c>
      <c r="G13" s="6" t="n">
        <v>722827.09</v>
      </c>
      <c r="H13" s="6" t="n">
        <v>551469.75</v>
      </c>
      <c r="I13" s="6" t="n">
        <v>1918938.67</v>
      </c>
      <c r="J13" s="6" t="n">
        <v>19305484.78</v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6" t="n">
        <v>72701817.54000001</v>
      </c>
      <c r="D14" s="6" t="n">
        <v>140513661.33</v>
      </c>
      <c r="E14" s="6" t="n">
        <v>101287573.05</v>
      </c>
      <c r="F14" s="6" t="n">
        <v>78309014.93000001</v>
      </c>
      <c r="G14" s="6" t="n">
        <v>2364215.5</v>
      </c>
      <c r="H14" s="6" t="n">
        <v>1689112.21</v>
      </c>
      <c r="I14" s="6" t="n">
        <v>4167606.53</v>
      </c>
      <c r="J14" s="6" t="n">
        <v>2414078.01</v>
      </c>
    </row>
    <row r="15">
      <c r="A15" s="5" t="inlineStr">
        <is>
          <t>1421909</t>
        </is>
      </c>
      <c r="B15" s="5" t="inlineStr">
        <is>
          <t>جمع النفايات</t>
        </is>
      </c>
      <c r="C15" s="6" t="n">
        <v>81156665.08</v>
      </c>
      <c r="D15" s="6" t="n">
        <v>87441839.75</v>
      </c>
      <c r="E15" s="6" t="n">
        <v>79209685.56</v>
      </c>
      <c r="F15" s="6" t="n">
        <v>76301330.65000001</v>
      </c>
      <c r="G15" s="6" t="n">
        <v>1871186.45</v>
      </c>
      <c r="H15" s="6" t="n">
        <v>1828100.87</v>
      </c>
      <c r="I15" s="6" t="n">
        <v>1778808.27</v>
      </c>
      <c r="J15" s="6" t="n">
        <v>2912175.55</v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6" t="n">
        <v>66565866.19</v>
      </c>
      <c r="D16" s="6" t="n">
        <v>65178247.05</v>
      </c>
      <c r="E16" s="6" t="n">
        <v>560490.41</v>
      </c>
      <c r="F16" s="6" t="n">
        <v>0</v>
      </c>
      <c r="G16" s="6" t="n">
        <v>319033.78</v>
      </c>
      <c r="H16" s="6" t="n">
        <v>289038.85</v>
      </c>
      <c r="I16" s="6" t="n">
        <v>74246.06</v>
      </c>
      <c r="J16" s="6" t="n">
        <v>1350</v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6" t="n">
        <v>4391166.64</v>
      </c>
      <c r="D17" s="6" t="n">
        <v>19598327.65</v>
      </c>
      <c r="E17" s="6" t="n">
        <v>26544701.29</v>
      </c>
      <c r="F17" s="6" t="n">
        <v>31807755.11</v>
      </c>
      <c r="G17" s="6" t="n">
        <v>31103</v>
      </c>
      <c r="H17" s="6" t="n">
        <v>106057.75</v>
      </c>
      <c r="I17" s="6" t="n">
        <v>364687.58</v>
      </c>
      <c r="J17" s="6" t="n">
        <v>2326052.14</v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6" t="n">
        <v>19375523.29</v>
      </c>
      <c r="D18" s="6" t="n">
        <v>13396724.24</v>
      </c>
      <c r="E18" s="6" t="n">
        <v>25250138.75</v>
      </c>
      <c r="F18" s="6" t="n">
        <v>21432048.85</v>
      </c>
      <c r="G18" s="6" t="n">
        <v>1893132.74</v>
      </c>
      <c r="H18" s="6" t="n">
        <v>472946.84</v>
      </c>
      <c r="I18" s="6" t="n">
        <v>1049260.99</v>
      </c>
      <c r="J18" s="6" t="n">
        <v>202309.67</v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6" t="n">
        <v>16817800</v>
      </c>
      <c r="D19" s="6" t="n">
        <v>16115000</v>
      </c>
      <c r="E19" s="6" t="n">
        <v>15767478.8</v>
      </c>
      <c r="F19" s="6" t="n">
        <v>13744093.5</v>
      </c>
      <c r="G19" s="6" t="n">
        <v>170000</v>
      </c>
      <c r="H19" s="6" t="n">
        <v>2095000</v>
      </c>
      <c r="I19" s="6" t="n">
        <v>445000</v>
      </c>
      <c r="J19" s="6" t="n">
        <v>563914.51</v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6" t="n">
        <v>4834590</v>
      </c>
      <c r="D20" s="6" t="n">
        <v>14372921.25</v>
      </c>
      <c r="E20" s="6" t="n">
        <v>21894648.75</v>
      </c>
      <c r="F20" s="6" t="n">
        <v>21614573.75</v>
      </c>
      <c r="G20" s="6" t="n">
        <v>25478.75</v>
      </c>
      <c r="H20" s="6" t="n">
        <v>47212.5</v>
      </c>
      <c r="I20" s="6" t="n">
        <v>143111.25</v>
      </c>
      <c r="J20" s="6" t="n">
        <v>223263.75</v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6" t="n">
        <v>8085858</v>
      </c>
      <c r="D21" s="6" t="n">
        <v>6095216.75</v>
      </c>
      <c r="E21" s="6" t="n">
        <v>3675127.5</v>
      </c>
      <c r="F21" s="6" t="n">
        <v>9088249.050000001</v>
      </c>
      <c r="G21" s="6" t="n">
        <v>962397.9300000001</v>
      </c>
      <c r="H21" s="6" t="n">
        <v>1449039.5</v>
      </c>
      <c r="I21" s="6" t="n">
        <v>1243619.25</v>
      </c>
      <c r="J21" s="6" t="n">
        <v>3222365.71</v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6" t="n">
        <v>9441840.73</v>
      </c>
      <c r="D22" s="6" t="n">
        <v>9503239.65</v>
      </c>
      <c r="E22" s="6" t="n">
        <v>7617004.28</v>
      </c>
      <c r="F22" s="6" t="n">
        <v>6172791.57</v>
      </c>
      <c r="G22" s="6" t="n">
        <v>155319.35</v>
      </c>
      <c r="H22" s="6" t="n">
        <v>90130</v>
      </c>
      <c r="I22" s="6" t="n">
        <v>87207.50999999999</v>
      </c>
      <c r="J22" s="6" t="n">
        <v>159206.88</v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6" t="n">
        <v>6029932.4</v>
      </c>
      <c r="D23" s="6" t="n">
        <v>5182284.58</v>
      </c>
      <c r="E23" s="6" t="n">
        <v>5989835.57</v>
      </c>
      <c r="F23" s="6" t="n">
        <v>11838949.26</v>
      </c>
      <c r="G23" s="6" t="n">
        <v>47804.3</v>
      </c>
      <c r="H23" s="6" t="n">
        <v>45780.61</v>
      </c>
      <c r="I23" s="6" t="n">
        <v>61374.59</v>
      </c>
      <c r="J23" s="6" t="n">
        <v>267274.16</v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6" t="n">
        <v>3769312.51</v>
      </c>
      <c r="D24" s="6" t="n">
        <v>2921517.06</v>
      </c>
      <c r="E24" s="6" t="n">
        <v>3529618.23</v>
      </c>
      <c r="F24" s="6" t="n">
        <v>3571838.39</v>
      </c>
      <c r="G24" s="6" t="n">
        <v>84268.85000000001</v>
      </c>
      <c r="H24" s="6" t="n">
        <v>24904.75</v>
      </c>
      <c r="I24" s="6" t="n">
        <v>37009.2</v>
      </c>
      <c r="J24" s="6" t="n">
        <v>88952.23</v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6" t="n">
        <v>3533600</v>
      </c>
      <c r="D25" s="6" t="n">
        <v>255186</v>
      </c>
      <c r="E25" s="6" t="n">
        <v>8503508</v>
      </c>
      <c r="F25" s="6" t="n">
        <v>519000</v>
      </c>
      <c r="G25" s="6" t="n">
        <v>3500</v>
      </c>
      <c r="H25" s="6" t="n">
        <v>1000</v>
      </c>
      <c r="I25" s="6" t="n">
        <v>0</v>
      </c>
      <c r="J25" s="6" t="n">
        <v>0</v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6" t="n">
        <v>2937506</v>
      </c>
      <c r="D26" s="6" t="n">
        <v>2737695</v>
      </c>
      <c r="E26" s="6" t="n">
        <v>2503277</v>
      </c>
      <c r="F26" s="6" t="n">
        <v>1852136</v>
      </c>
      <c r="G26" s="6" t="n">
        <v>7500</v>
      </c>
      <c r="H26" s="6" t="n">
        <v>16100</v>
      </c>
      <c r="I26" s="6" t="n">
        <v>17200</v>
      </c>
      <c r="J26" s="6" t="n">
        <v>8100</v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6" t="n">
        <v>0</v>
      </c>
      <c r="D27" s="6" t="n">
        <v>0</v>
      </c>
      <c r="E27" s="6" t="n">
        <v>8083209.81</v>
      </c>
      <c r="F27" s="6" t="n">
        <v>170710.39</v>
      </c>
      <c r="G27" s="6" t="n">
        <v>0</v>
      </c>
      <c r="H27" s="6" t="n">
        <v>0</v>
      </c>
      <c r="I27" s="6" t="n">
        <v>0</v>
      </c>
      <c r="J27" s="6" t="n">
        <v>131317.26</v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6" t="n">
        <v>5975450</v>
      </c>
      <c r="D28" s="6" t="n">
        <v>0</v>
      </c>
      <c r="E28" s="6" t="n">
        <v>0</v>
      </c>
      <c r="F28" s="6" t="n">
        <v>0</v>
      </c>
      <c r="G28" s="6" t="n">
        <v>905753</v>
      </c>
      <c r="H28" s="6" t="n">
        <v>486100</v>
      </c>
      <c r="I28" s="6" t="n">
        <v>352900</v>
      </c>
      <c r="J28" s="6" t="n">
        <v>59500</v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6" t="n">
        <v>836002.1899999999</v>
      </c>
      <c r="D29" s="6" t="n">
        <v>2053263.42</v>
      </c>
      <c r="E29" s="6" t="n">
        <v>2450880.59</v>
      </c>
      <c r="F29" s="6" t="n">
        <v>1444704.96</v>
      </c>
      <c r="G29" s="6" t="n">
        <v>2418</v>
      </c>
      <c r="H29" s="6" t="n">
        <v>0</v>
      </c>
      <c r="I29" s="6" t="n">
        <v>9422.92</v>
      </c>
      <c r="J29" s="6" t="n">
        <v>3150</v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6" t="n">
        <v>989500</v>
      </c>
      <c r="D30" s="6" t="n">
        <v>1458100</v>
      </c>
      <c r="E30" s="6" t="n">
        <v>1498900</v>
      </c>
      <c r="F30" s="6" t="n">
        <v>323000</v>
      </c>
      <c r="G30" s="6" t="n">
        <v>17600</v>
      </c>
      <c r="H30" s="6" t="n">
        <v>112000</v>
      </c>
      <c r="I30" s="6" t="n">
        <v>91100</v>
      </c>
      <c r="J30" s="6" t="n">
        <v>153400</v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6" t="n">
        <v>900053.05</v>
      </c>
      <c r="D31" s="6" t="n">
        <v>804465.15</v>
      </c>
      <c r="E31" s="6" t="n">
        <v>816539.9300000001</v>
      </c>
      <c r="F31" s="6" t="n">
        <v>631902.8</v>
      </c>
      <c r="G31" s="6" t="n">
        <v>74951</v>
      </c>
      <c r="H31" s="6" t="n">
        <v>234324.1</v>
      </c>
      <c r="I31" s="6" t="n">
        <v>197903.29</v>
      </c>
      <c r="J31" s="6" t="n">
        <v>14942.32</v>
      </c>
    </row>
    <row r="32">
      <c r="A32" s="5" t="inlineStr">
        <is>
          <t>141229</t>
        </is>
      </c>
      <c r="B32" s="5" t="inlineStr">
        <is>
          <t>أرباح أخرى</t>
        </is>
      </c>
      <c r="C32" s="6" t="n">
        <v>1070572</v>
      </c>
      <c r="D32" s="6" t="n">
        <v>2100000</v>
      </c>
      <c r="E32" s="6" t="n">
        <v>0</v>
      </c>
      <c r="F32" s="6" t="n">
        <v>0</v>
      </c>
      <c r="G32" s="6" t="n">
        <v>40000</v>
      </c>
      <c r="H32" s="6" t="n">
        <v>120000</v>
      </c>
      <c r="I32" s="6" t="n">
        <v>30000</v>
      </c>
      <c r="J32" s="6" t="n">
        <v>60000</v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6" t="n">
        <v>1309274.5</v>
      </c>
      <c r="D33" s="6" t="n">
        <v>1328839.22</v>
      </c>
      <c r="E33" s="6" t="n">
        <v>590496.73</v>
      </c>
      <c r="F33" s="6" t="n">
        <v>0</v>
      </c>
      <c r="G33" s="6" t="n">
        <v>2300</v>
      </c>
      <c r="H33" s="6" t="n">
        <v>1800</v>
      </c>
      <c r="I33" s="6" t="n">
        <v>1900</v>
      </c>
      <c r="J33" s="6" t="n">
        <v>100</v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6" t="n">
        <v>49000</v>
      </c>
      <c r="D34" s="6" t="n">
        <v>92000</v>
      </c>
      <c r="E34" s="6" t="n">
        <v>234273.52</v>
      </c>
      <c r="F34" s="6" t="n">
        <v>193711.09</v>
      </c>
      <c r="G34" s="6" t="n">
        <v>5000</v>
      </c>
      <c r="H34" s="6" t="n">
        <v>0</v>
      </c>
      <c r="I34" s="6" t="n">
        <v>2000</v>
      </c>
      <c r="J34" s="6" t="n">
        <v>6473.52</v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6" t="n">
        <v>0</v>
      </c>
      <c r="D35" s="6" t="n">
        <v>0</v>
      </c>
      <c r="E35" s="6" t="n">
        <v>152767.79</v>
      </c>
      <c r="F35" s="6" t="n">
        <v>361665.23</v>
      </c>
      <c r="G35" s="6" t="n">
        <v>0</v>
      </c>
      <c r="H35" s="6" t="n">
        <v>0</v>
      </c>
      <c r="I35" s="6" t="n">
        <v>0</v>
      </c>
      <c r="J35" s="6" t="n">
        <v>0</v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6" t="n">
        <v>3000</v>
      </c>
      <c r="D36" s="6" t="n">
        <v>5167</v>
      </c>
      <c r="E36" s="6" t="n">
        <v>45000</v>
      </c>
      <c r="F36" s="6" t="n">
        <v>0</v>
      </c>
      <c r="G36" s="6" t="n">
        <v>24000</v>
      </c>
      <c r="H36" s="6" t="n">
        <v>0</v>
      </c>
      <c r="I36" s="6" t="n">
        <v>27000</v>
      </c>
      <c r="J36" s="6" t="n">
        <v>0</v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67711.60000000001</v>
      </c>
      <c r="H37" s="6" t="n">
        <v>16269.6</v>
      </c>
      <c r="I37" s="6" t="n">
        <v>1603.2</v>
      </c>
      <c r="J37" s="6" t="n">
        <v>432</v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55525</v>
      </c>
      <c r="H38" s="6" t="n">
        <v>12875</v>
      </c>
      <c r="I38" s="6" t="n">
        <v>9000</v>
      </c>
      <c r="J38" s="6" t="n">
        <v>600</v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6" t="n">
        <v>0</v>
      </c>
      <c r="D39" s="6" t="n">
        <v>0</v>
      </c>
      <c r="E39" s="6" t="n">
        <v>21950</v>
      </c>
      <c r="F39" s="6" t="n">
        <v>6250</v>
      </c>
      <c r="G39" s="6" t="n">
        <v>0</v>
      </c>
      <c r="H39" s="6" t="n">
        <v>0</v>
      </c>
      <c r="I39" s="6" t="n">
        <v>0</v>
      </c>
      <c r="J39" s="6" t="n">
        <v>100</v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6" t="n">
        <v>16385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6000</v>
      </c>
      <c r="J41" s="6" t="n">
        <v>0</v>
      </c>
    </row>
    <row r="42">
      <c r="A42" s="8" t="n"/>
      <c r="B42" s="8" t="inlineStr">
        <is>
          <t>الإجمالي</t>
        </is>
      </c>
      <c r="C42" s="9">
        <f>SUM(C4:C41)</f>
        <v/>
      </c>
      <c r="D42" s="9">
        <f>SUM(D4:D41)</f>
        <v/>
      </c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0" customWidth="1" min="11" max="11"/>
    <col width="14" customWidth="1" min="12" max="12"/>
    <col width="18" customWidth="1" min="13" max="13"/>
    <col width="16" customWidth="1" min="14" max="14"/>
  </cols>
  <sheetData>
    <row r="1">
      <c r="A1" s="1" t="inlineStr">
        <is>
          <t>توقع إقفال 2026 كمحصّل فعلي (مسدد عن السنة + محصل سنوات سابقة)</t>
        </is>
      </c>
    </row>
    <row r="2">
      <c r="A2" s="11" t="inlineStr">
        <is>
          <t>توقع 2026 = المحصل الفعلي حتى سبتمبر × معامل الافتراضات (12÷9). الحسابات المتوقفة في 2026 (لا فوترة ولا تحصيل) توقعها صفر. الضريبة مستبعدة.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محصّل</t>
        </is>
      </c>
      <c r="F3" s="4" t="inlineStr">
        <is>
          <t>2024 محصّل</t>
        </is>
      </c>
      <c r="G3" s="4" t="inlineStr">
        <is>
          <t>2025 محصّل</t>
        </is>
      </c>
      <c r="H3" s="4" t="inlineStr">
        <is>
          <t>2026 محصّل حتى سبتمبر</t>
        </is>
      </c>
      <c r="I3" s="4" t="inlineStr">
        <is>
          <t>منه: مسدد عن 2026</t>
        </is>
      </c>
      <c r="J3" s="4" t="inlineStr">
        <is>
          <t>منه: محصل سنوات سابقة</t>
        </is>
      </c>
      <c r="K3" s="4" t="inlineStr">
        <is>
          <t>2026 توقع إقفال (محصّل)</t>
        </is>
      </c>
      <c r="L3" s="4" t="inlineStr">
        <is>
          <t>نمو التوقع عن 2025</t>
        </is>
      </c>
      <c r="M3" s="4" t="inlineStr">
        <is>
          <t>توقع الفوترة 2026</t>
        </is>
      </c>
      <c r="N3" s="4" t="inlineStr">
        <is>
          <t>نسبة المحصّل إلى المفوتر (توقع)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>
        <f>IF(AND(1065200061.32=0,370612328.79=0),"متوقف","نشط")</f>
        <v/>
      </c>
      <c r="E4" s="6" t="n">
        <v>459891610.83</v>
      </c>
      <c r="F4" s="6" t="n">
        <v>303585685.79</v>
      </c>
      <c r="G4" s="6" t="n">
        <v>308012204.69</v>
      </c>
      <c r="H4" s="6" t="n">
        <v>370612328.79</v>
      </c>
      <c r="I4" s="6" t="n">
        <v>204559511.42</v>
      </c>
      <c r="J4" s="6" t="n">
        <v>166052817.37</v>
      </c>
      <c r="K4" s="6">
        <f>IF(D4="متوقف",0,H4*الافتراضات!$B$4)</f>
        <v/>
      </c>
      <c r="L4" s="7">
        <f>IF(G4=0,"",K4/G4-1)</f>
        <v/>
      </c>
      <c r="M4" s="6">
        <f>IFERROR(VLOOKUP(A4,التوقعات!$A$4:$I$41,9,FALSE),0)</f>
        <v/>
      </c>
      <c r="N4" s="7">
        <f>IF(M4=0,"",K4/M4)</f>
        <v/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>
        <f>IF(AND(803599432.03=0,612889120.88=0),"متوقف","نشط")</f>
        <v/>
      </c>
      <c r="E5" s="6" t="n">
        <v>779186906.26</v>
      </c>
      <c r="F5" s="6" t="n">
        <v>803323461.12</v>
      </c>
      <c r="G5" s="6" t="n">
        <v>649331791.52</v>
      </c>
      <c r="H5" s="6" t="n">
        <v>612889120.88</v>
      </c>
      <c r="I5" s="6" t="n">
        <v>453484669.92</v>
      </c>
      <c r="J5" s="6" t="n">
        <v>159404450.96</v>
      </c>
      <c r="K5" s="6">
        <f>IF(D5="متوقف",0,H5*الافتراضات!$B$4)</f>
        <v/>
      </c>
      <c r="L5" s="7">
        <f>IF(G5=0,"",K5/G5-1)</f>
        <v/>
      </c>
      <c r="M5" s="6">
        <f>IFERROR(VLOOKUP(A5,التوقعات!$A$4:$I$41,9,FALSE),0)</f>
        <v/>
      </c>
      <c r="N5" s="7">
        <f>IF(M5=0,"",K5/M5)</f>
        <v/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>
        <f>IF(AND(126475270.21=0,122031767.73=0),"متوقف","نشط")</f>
        <v/>
      </c>
      <c r="E6" s="6" t="n">
        <v>157946538.8</v>
      </c>
      <c r="F6" s="6" t="n">
        <v>609523702.9299999</v>
      </c>
      <c r="G6" s="6" t="n">
        <v>1016877058.52</v>
      </c>
      <c r="H6" s="6" t="n">
        <v>122031767.73</v>
      </c>
      <c r="I6" s="6" t="n">
        <v>84830327.73</v>
      </c>
      <c r="J6" s="6" t="n">
        <v>37201440</v>
      </c>
      <c r="K6" s="6">
        <f>IF(D6="متوقف",0,H6*الافتراضات!$B$4)</f>
        <v/>
      </c>
      <c r="L6" s="7">
        <f>IF(G6=0,"",K6/G6-1)</f>
        <v/>
      </c>
      <c r="M6" s="6">
        <f>IFERROR(VLOOKUP(A6,التوقعات!$A$4:$I$41,9,FALSE),0)</f>
        <v/>
      </c>
      <c r="N6" s="7">
        <f>IF(M6=0,"",K6/M6)</f>
        <v/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>
        <f>IF(AND(266305026.42=0,250375647.47=0),"متوقف","نشط")</f>
        <v/>
      </c>
      <c r="E7" s="6" t="n">
        <v>260667489.98</v>
      </c>
      <c r="F7" s="6" t="n">
        <v>276275913.44</v>
      </c>
      <c r="G7" s="6" t="n">
        <v>267496278.85</v>
      </c>
      <c r="H7" s="6" t="n">
        <v>250375647.47</v>
      </c>
      <c r="I7" s="6" t="n">
        <v>242883840.52</v>
      </c>
      <c r="J7" s="6" t="n">
        <v>7491806.95</v>
      </c>
      <c r="K7" s="6">
        <f>IF(D7="متوقف",0,H7*الافتراضات!$B$4)</f>
        <v/>
      </c>
      <c r="L7" s="7">
        <f>IF(G7=0,"",K7/G7-1)</f>
        <v/>
      </c>
      <c r="M7" s="6">
        <f>IFERROR(VLOOKUP(A7,التوقعات!$A$4:$I$41,9,FALSE),0)</f>
        <v/>
      </c>
      <c r="N7" s="7">
        <f>IF(M7=0,"",K7/M7)</f>
        <v/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>
        <f>IF(AND(206131241.55=0,204002823.21=0),"متوقف","نشط")</f>
        <v/>
      </c>
      <c r="E8" s="6" t="n">
        <v>224939645.24</v>
      </c>
      <c r="F8" s="6" t="n">
        <v>244582493.3</v>
      </c>
      <c r="G8" s="6" t="n">
        <v>319675274.54</v>
      </c>
      <c r="H8" s="6" t="n">
        <v>204002823.21</v>
      </c>
      <c r="I8" s="6" t="n">
        <v>201825904.56</v>
      </c>
      <c r="J8" s="6" t="n">
        <v>2176918.65</v>
      </c>
      <c r="K8" s="6">
        <f>IF(D8="متوقف",0,H8*الافتراضات!$B$4)</f>
        <v/>
      </c>
      <c r="L8" s="7">
        <f>IF(G8=0,"",K8/G8-1)</f>
        <v/>
      </c>
      <c r="M8" s="6">
        <f>IFERROR(VLOOKUP(A8,التوقعات!$A$4:$I$41,9,FALSE),0)</f>
        <v/>
      </c>
      <c r="N8" s="7">
        <f>IF(M8=0,"",K8/M8)</f>
        <v/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>
        <f>IF(AND(187729029.22=0,174294501.5=0),"متوقف","نشط")</f>
        <v/>
      </c>
      <c r="E9" s="6" t="n">
        <v>218503365</v>
      </c>
      <c r="F9" s="6" t="n">
        <v>219218740</v>
      </c>
      <c r="G9" s="6" t="n">
        <v>193830778.44</v>
      </c>
      <c r="H9" s="6" t="n">
        <v>174294501.5</v>
      </c>
      <c r="I9" s="6" t="n">
        <v>168452157.32</v>
      </c>
      <c r="J9" s="6" t="n">
        <v>5842344.18</v>
      </c>
      <c r="K9" s="6">
        <f>IF(D9="متوقف",0,H9*الافتراضات!$B$4)</f>
        <v/>
      </c>
      <c r="L9" s="7">
        <f>IF(G9=0,"",K9/G9-1)</f>
        <v/>
      </c>
      <c r="M9" s="6">
        <f>IFERROR(VLOOKUP(A9,التوقعات!$A$4:$I$41,9,FALSE),0)</f>
        <v/>
      </c>
      <c r="N9" s="7">
        <f>IF(M9=0,"",K9/M9)</f>
        <v/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>
        <f>IF(AND(156682947.06=0,136639761.84=0),"متوقف","نشط")</f>
        <v/>
      </c>
      <c r="E10" s="6" t="n">
        <v>219905861.19</v>
      </c>
      <c r="F10" s="6" t="n">
        <v>256726800.98</v>
      </c>
      <c r="G10" s="6" t="n">
        <v>199149669.75</v>
      </c>
      <c r="H10" s="6" t="n">
        <v>136639761.84</v>
      </c>
      <c r="I10" s="6" t="n">
        <v>130009859.83</v>
      </c>
      <c r="J10" s="6" t="n">
        <v>6629902.01</v>
      </c>
      <c r="K10" s="6">
        <f>IF(D10="متوقف",0,H10*الافتراضات!$B$4)</f>
        <v/>
      </c>
      <c r="L10" s="7">
        <f>IF(G10=0,"",K10/G10-1)</f>
        <v/>
      </c>
      <c r="M10" s="6">
        <f>IFERROR(VLOOKUP(A10,التوقعات!$A$4:$I$41,9,FALSE),0)</f>
        <v/>
      </c>
      <c r="N10" s="7">
        <f>IF(M10=0,"",K10/M10)</f>
        <v/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>
        <f>IF(AND(430765503.41=0,428460046.0=0),"متوقف","نشط")</f>
        <v/>
      </c>
      <c r="E11" s="6" t="n">
        <v>29573714.25</v>
      </c>
      <c r="F11" s="6" t="n">
        <v>45452213.03</v>
      </c>
      <c r="G11" s="6" t="n">
        <v>25602601.22</v>
      </c>
      <c r="H11" s="6" t="n">
        <v>428460046</v>
      </c>
      <c r="I11" s="6" t="n">
        <v>419189059.67</v>
      </c>
      <c r="J11" s="6" t="n">
        <v>9270986.33</v>
      </c>
      <c r="K11" s="6">
        <f>IF(D11="متوقف",0,H11*الافتراضات!$B$4)</f>
        <v/>
      </c>
      <c r="L11" s="7">
        <f>IF(G11=0,"",K11/G11-1)</f>
        <v/>
      </c>
      <c r="M11" s="6">
        <f>IFERROR(VLOOKUP(A11,التوقعات!$A$4:$I$41,9,FALSE),0)</f>
        <v/>
      </c>
      <c r="N11" s="7">
        <f>IF(M11=0,"",K11/M11)</f>
        <v/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>
        <f>IF(AND(147700656.12=0,134076434.91=0),"متوقف","نشط")</f>
        <v/>
      </c>
      <c r="E12" s="6" t="n">
        <v>110542302.74</v>
      </c>
      <c r="F12" s="6" t="n">
        <v>106593084.61</v>
      </c>
      <c r="G12" s="6" t="n">
        <v>60096373.96</v>
      </c>
      <c r="H12" s="6" t="n">
        <v>134076434.91</v>
      </c>
      <c r="I12" s="6" t="n">
        <v>131555252.54</v>
      </c>
      <c r="J12" s="6" t="n">
        <v>2521182.37</v>
      </c>
      <c r="K12" s="6">
        <f>IF(D12="متوقف",0,H12*الافتراضات!$B$4)</f>
        <v/>
      </c>
      <c r="L12" s="7">
        <f>IF(G12=0,"",K12/G12-1)</f>
        <v/>
      </c>
      <c r="M12" s="6">
        <f>IFERROR(VLOOKUP(A12,التوقعات!$A$4:$I$41,9,FALSE),0)</f>
        <v/>
      </c>
      <c r="N12" s="7">
        <f>IF(M12=0,"",K12/M12)</f>
        <v/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>
        <f>IF(AND(316496963.26=0,20815752.14=0),"متوقف","نشط")</f>
        <v/>
      </c>
      <c r="E13" s="6" t="n">
        <v>8992323.98</v>
      </c>
      <c r="F13" s="6" t="n">
        <v>8297789.75</v>
      </c>
      <c r="G13" s="6" t="n">
        <v>2477531.42</v>
      </c>
      <c r="H13" s="6" t="n">
        <v>20815752.14</v>
      </c>
      <c r="I13" s="6" t="n">
        <v>1510267.36</v>
      </c>
      <c r="J13" s="6" t="n">
        <v>19305484.78</v>
      </c>
      <c r="K13" s="6">
        <f>IF(D13="متوقف",0,H13*الافتراضات!$B$4)</f>
        <v/>
      </c>
      <c r="L13" s="7">
        <f>IF(G13=0,"",K13/G13-1)</f>
        <v/>
      </c>
      <c r="M13" s="6">
        <f>IFERROR(VLOOKUP(A13,التوقعات!$A$4:$I$41,9,FALSE),0)</f>
        <v/>
      </c>
      <c r="N13" s="7">
        <f>IF(M13=0,"",K13/M13)</f>
        <v/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>
        <f>IF(AND(80723092.94=0,56671709.72=0),"متوقف","نشط")</f>
        <v/>
      </c>
      <c r="E14" s="6" t="n">
        <v>65864668.18</v>
      </c>
      <c r="F14" s="6" t="n">
        <v>79278364.97</v>
      </c>
      <c r="G14" s="6" t="n">
        <v>67630101.28</v>
      </c>
      <c r="H14" s="6" t="n">
        <v>56671709.72</v>
      </c>
      <c r="I14" s="6" t="n">
        <v>54257631.71</v>
      </c>
      <c r="J14" s="6" t="n">
        <v>2414078.01</v>
      </c>
      <c r="K14" s="6">
        <f>IF(D14="متوقف",0,H14*الافتراضات!$B$4)</f>
        <v/>
      </c>
      <c r="L14" s="7">
        <f>IF(G14=0,"",K14/G14-1)</f>
        <v/>
      </c>
      <c r="M14" s="6">
        <f>IFERROR(VLOOKUP(A14,التوقعات!$A$4:$I$41,9,FALSE),0)</f>
        <v/>
      </c>
      <c r="N14" s="7">
        <f>IF(M14=0,"",K14/M14)</f>
        <v/>
      </c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>
        <f>IF(AND(79213506.2=0,72223518.14=0),"متوقف","نشط")</f>
        <v/>
      </c>
      <c r="E15" s="6" t="n">
        <v>72026385.34999999</v>
      </c>
      <c r="F15" s="6" t="n">
        <v>76106716.86</v>
      </c>
      <c r="G15" s="6" t="n">
        <v>72842923.63</v>
      </c>
      <c r="H15" s="6" t="n">
        <v>72223518.14</v>
      </c>
      <c r="I15" s="6" t="n">
        <v>69311342.59</v>
      </c>
      <c r="J15" s="6" t="n">
        <v>2912175.55</v>
      </c>
      <c r="K15" s="6">
        <f>IF(D15="متوقف",0,H15*الافتراضات!$B$4)</f>
        <v/>
      </c>
      <c r="L15" s="7">
        <f>IF(G15=0,"",K15/G15-1)</f>
        <v/>
      </c>
      <c r="M15" s="6">
        <f>IFERROR(VLOOKUP(A15,التوقعات!$A$4:$I$41,9,FALSE),0)</f>
        <v/>
      </c>
      <c r="N15" s="7">
        <f>IF(M15=0,"",K15/M15)</f>
        <v/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>
        <f>IF(AND(1350.0=0,1350.0=0),"متوقف","نشط")</f>
        <v/>
      </c>
      <c r="E16" s="6" t="n">
        <v>66558861.24</v>
      </c>
      <c r="F16" s="6" t="n">
        <v>65200590.52</v>
      </c>
      <c r="G16" s="6" t="n">
        <v>590915.4300000001</v>
      </c>
      <c r="H16" s="6" t="n">
        <v>1350</v>
      </c>
      <c r="I16" s="6" t="n">
        <v>0</v>
      </c>
      <c r="J16" s="6" t="n">
        <v>1350</v>
      </c>
      <c r="K16" s="6">
        <f>IF(D16="متوقف",0,H16*الافتراضات!$B$4)</f>
        <v/>
      </c>
      <c r="L16" s="7">
        <f>IF(G16=0,"",K16/G16-1)</f>
        <v/>
      </c>
      <c r="M16" s="6">
        <f>IFERROR(VLOOKUP(A16,التوقعات!$A$4:$I$41,9,FALSE),0)</f>
        <v/>
      </c>
      <c r="N16" s="7">
        <f>IF(M16=0,"",K16/M16)</f>
        <v/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>
        <f>IF(AND(34133807.25=0,31178848.2=0),"متوقف","نشط")</f>
        <v/>
      </c>
      <c r="E17" s="6" t="n">
        <v>4316211.89</v>
      </c>
      <c r="F17" s="6" t="n">
        <v>19339697.82</v>
      </c>
      <c r="G17" s="6" t="n">
        <v>24531493.81</v>
      </c>
      <c r="H17" s="6" t="n">
        <v>31178848.2</v>
      </c>
      <c r="I17" s="6" t="n">
        <v>28852796.06</v>
      </c>
      <c r="J17" s="6" t="n">
        <v>2326052.14</v>
      </c>
      <c r="K17" s="6">
        <f>IF(D17="متوقف",0,H17*الافتراضات!$B$4)</f>
        <v/>
      </c>
      <c r="L17" s="7">
        <f>IF(G17=0,"",K17/G17-1)</f>
        <v/>
      </c>
      <c r="M17" s="6">
        <f>IFERROR(VLOOKUP(A17,التوقعات!$A$4:$I$41,9,FALSE),0)</f>
        <v/>
      </c>
      <c r="N17" s="7">
        <f>IF(M17=0,"",K17/M17)</f>
        <v/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>
        <f>IF(AND(21634358.52=0,17601110.76=0),"متوقف","نشط")</f>
        <v/>
      </c>
      <c r="E18" s="6" t="n">
        <v>20767064.19</v>
      </c>
      <c r="F18" s="6" t="n">
        <v>12367178.86</v>
      </c>
      <c r="G18" s="6" t="n">
        <v>26098550.07</v>
      </c>
      <c r="H18" s="6" t="n">
        <v>17601110.76</v>
      </c>
      <c r="I18" s="6" t="n">
        <v>17398801.09</v>
      </c>
      <c r="J18" s="6" t="n">
        <v>202309.67</v>
      </c>
      <c r="K18" s="6">
        <f>IF(D18="متوقف",0,H18*الافتراضات!$B$4)</f>
        <v/>
      </c>
      <c r="L18" s="7">
        <f>IF(G18=0,"",K18/G18-1)</f>
        <v/>
      </c>
      <c r="M18" s="6">
        <f>IFERROR(VLOOKUP(A18,التوقعات!$A$4:$I$41,9,FALSE),0)</f>
        <v/>
      </c>
      <c r="N18" s="7">
        <f>IF(M18=0,"",K18/M18)</f>
        <v/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>
        <f>IF(AND(14308008.01=0,13896650.67=0),"متوقف","نشط")</f>
        <v/>
      </c>
      <c r="E19" s="6" t="n">
        <v>13322800</v>
      </c>
      <c r="F19" s="6" t="n">
        <v>17925000</v>
      </c>
      <c r="G19" s="6" t="n">
        <v>15681460.95</v>
      </c>
      <c r="H19" s="6" t="n">
        <v>13896650.67</v>
      </c>
      <c r="I19" s="6" t="n">
        <v>13332736.16</v>
      </c>
      <c r="J19" s="6" t="n">
        <v>563914.51</v>
      </c>
      <c r="K19" s="6">
        <f>IF(D19="متوقف",0,H19*الافتراضات!$B$4)</f>
        <v/>
      </c>
      <c r="L19" s="7">
        <f>IF(G19=0,"",K19/G19-1)</f>
        <v/>
      </c>
      <c r="M19" s="6">
        <f>IFERROR(VLOOKUP(A19,التوقعات!$A$4:$I$41,9,FALSE),0)</f>
        <v/>
      </c>
      <c r="N19" s="7">
        <f>IF(M19=0,"",K19/M19)</f>
        <v/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>
        <f>IF(AND(21837837.5=0,2122923.75=0),"متوقف","نشط")</f>
        <v/>
      </c>
      <c r="E20" s="6" t="n">
        <v>4815218.75</v>
      </c>
      <c r="F20" s="6" t="n">
        <v>14256546.25</v>
      </c>
      <c r="G20" s="6" t="n">
        <v>21814890</v>
      </c>
      <c r="H20" s="6" t="n">
        <v>2122923.75</v>
      </c>
      <c r="I20" s="6" t="n">
        <v>1899660</v>
      </c>
      <c r="J20" s="6" t="n">
        <v>223263.75</v>
      </c>
      <c r="K20" s="6">
        <f>IF(D20="متوقف",0,H20*الافتراضات!$B$4)</f>
        <v/>
      </c>
      <c r="L20" s="7">
        <f>IF(G20=0,"",K20/G20-1)</f>
        <v/>
      </c>
      <c r="M20" s="6">
        <f>IFERROR(VLOOKUP(A20,التوقعات!$A$4:$I$41,9,FALSE),0)</f>
        <v/>
      </c>
      <c r="N20" s="7">
        <f>IF(M20=0,"",K20/M20)</f>
        <v/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>
        <f>IF(AND(12310614.76=0,10169478.26=0),"متوقف","نشط")</f>
        <v/>
      </c>
      <c r="E21" s="6" t="n">
        <v>6866663.43</v>
      </c>
      <c r="F21" s="6" t="n">
        <v>6179302.5</v>
      </c>
      <c r="G21" s="6" t="n">
        <v>3001651.75</v>
      </c>
      <c r="H21" s="6" t="n">
        <v>10169478.26</v>
      </c>
      <c r="I21" s="6" t="n">
        <v>6947112.55</v>
      </c>
      <c r="J21" s="6" t="n">
        <v>3222365.71</v>
      </c>
      <c r="K21" s="6">
        <f>IF(D21="متوقف",0,H21*الافتراضات!$B$4)</f>
        <v/>
      </c>
      <c r="L21" s="7">
        <f>IF(G21=0,"",K21/G21-1)</f>
        <v/>
      </c>
      <c r="M21" s="6">
        <f>IFERROR(VLOOKUP(A21,التوقعات!$A$4:$I$41,9,FALSE),0)</f>
        <v/>
      </c>
      <c r="N21" s="7">
        <f>IF(M21=0,"",K21/M21)</f>
        <v/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>
        <f>IF(AND(6331998.45=0,5723153.45=0),"متوقف","نشط")</f>
        <v/>
      </c>
      <c r="E22" s="6" t="n">
        <v>9211384.77</v>
      </c>
      <c r="F22" s="6" t="n">
        <v>8995823.25</v>
      </c>
      <c r="G22" s="6" t="n">
        <v>7132142.91</v>
      </c>
      <c r="H22" s="6" t="n">
        <v>5723153.45</v>
      </c>
      <c r="I22" s="6" t="n">
        <v>5563946.57</v>
      </c>
      <c r="J22" s="6" t="n">
        <v>159206.88</v>
      </c>
      <c r="K22" s="6">
        <f>IF(D22="متوقف",0,H22*الافتراضات!$B$4)</f>
        <v/>
      </c>
      <c r="L22" s="7">
        <f>IF(G22=0,"",K22/G22-1)</f>
        <v/>
      </c>
      <c r="M22" s="6">
        <f>IFERROR(VLOOKUP(A22,التوقعات!$A$4:$I$41,9,FALSE),0)</f>
        <v/>
      </c>
      <c r="N22" s="7">
        <f>IF(M22=0,"",K22/M22)</f>
        <v/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>
        <f>IF(AND(12106223.42=0,11409758.77=0),"متوقف","نشط")</f>
        <v/>
      </c>
      <c r="E23" s="6" t="n">
        <v>6031956.09</v>
      </c>
      <c r="F23" s="6" t="n">
        <v>5166690.6</v>
      </c>
      <c r="G23" s="6" t="n">
        <v>5751371.82</v>
      </c>
      <c r="H23" s="6" t="n">
        <v>11409758.77</v>
      </c>
      <c r="I23" s="6" t="n">
        <v>11142484.61</v>
      </c>
      <c r="J23" s="6" t="n">
        <v>267274.16</v>
      </c>
      <c r="K23" s="6">
        <f>IF(D23="متوقف",0,H23*الافتراضات!$B$4)</f>
        <v/>
      </c>
      <c r="L23" s="7">
        <f>IF(G23=0,"",K23/G23-1)</f>
        <v/>
      </c>
      <c r="M23" s="6">
        <f>IFERROR(VLOOKUP(A23,التوقعات!$A$4:$I$41,9,FALSE),0)</f>
        <v/>
      </c>
      <c r="N23" s="7">
        <f>IF(M23=0,"",K23/M23)</f>
        <v/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>
        <f>IF(AND(3660790.62=0,3564931.07=0),"متوقف","نشط")</f>
        <v/>
      </c>
      <c r="E24" s="6" t="n">
        <v>3828676.61</v>
      </c>
      <c r="F24" s="6" t="n">
        <v>2909412.61</v>
      </c>
      <c r="G24" s="6" t="n">
        <v>3477675.2</v>
      </c>
      <c r="H24" s="6" t="n">
        <v>3564931.07</v>
      </c>
      <c r="I24" s="6" t="n">
        <v>3475978.84</v>
      </c>
      <c r="J24" s="6" t="n">
        <v>88952.23</v>
      </c>
      <c r="K24" s="6">
        <f>IF(D24="متوقف",0,H24*الافتراضات!$B$4)</f>
        <v/>
      </c>
      <c r="L24" s="7">
        <f>IF(G24=0,"",K24/G24-1)</f>
        <v/>
      </c>
      <c r="M24" s="6">
        <f>IFERROR(VLOOKUP(A24,التوقعات!$A$4:$I$41,9,FALSE),0)</f>
        <v/>
      </c>
      <c r="N24" s="7">
        <f>IF(M24=0,"",K24/M24)</f>
        <v/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>
        <f>IF(AND(519000.0=0,183000.0=0),"متوقف","نشط")</f>
        <v/>
      </c>
      <c r="E25" s="6" t="n">
        <v>3537100</v>
      </c>
      <c r="F25" s="6" t="n">
        <v>227000</v>
      </c>
      <c r="G25" s="6" t="n">
        <v>8503508</v>
      </c>
      <c r="H25" s="6" t="n">
        <v>183000</v>
      </c>
      <c r="I25" s="6" t="n">
        <v>183000</v>
      </c>
      <c r="J25" s="6" t="n">
        <v>0</v>
      </c>
      <c r="K25" s="6">
        <f>IF(D25="متوقف",0,H25*الافتراضات!$B$4)</f>
        <v/>
      </c>
      <c r="L25" s="7">
        <f>IF(G25=0,"",K25/G25-1)</f>
        <v/>
      </c>
      <c r="M25" s="6">
        <f>IFERROR(VLOOKUP(A25,التوقعات!$A$4:$I$41,9,FALSE),0)</f>
        <v/>
      </c>
      <c r="N25" s="7">
        <f>IF(M25=0,"",K25/M25)</f>
        <v/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>
        <f>IF(AND(1860236.0=0,1624137.0=0),"متوقف","نشط")</f>
        <v/>
      </c>
      <c r="E26" s="6" t="n">
        <v>2928906</v>
      </c>
      <c r="F26" s="6" t="n">
        <v>2736595</v>
      </c>
      <c r="G26" s="6" t="n">
        <v>2512377</v>
      </c>
      <c r="H26" s="6" t="n">
        <v>1624137</v>
      </c>
      <c r="I26" s="6" t="n">
        <v>1616037</v>
      </c>
      <c r="J26" s="6" t="n">
        <v>8100</v>
      </c>
      <c r="K26" s="6">
        <f>IF(D26="متوقف",0,H26*الافتراضات!$B$4)</f>
        <v/>
      </c>
      <c r="L26" s="7">
        <f>IF(G26=0,"",K26/G26-1)</f>
        <v/>
      </c>
      <c r="M26" s="6">
        <f>IFERROR(VLOOKUP(A26,التوقعات!$A$4:$I$41,9,FALSE),0)</f>
        <v/>
      </c>
      <c r="N26" s="7">
        <f>IF(M26=0,"",K26/M26)</f>
        <v/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>
        <f>IF(AND(302027.65=0,274868.65=0),"متوقف","نشط")</f>
        <v/>
      </c>
      <c r="E27" s="6" t="n">
        <v>0</v>
      </c>
      <c r="F27" s="6" t="n">
        <v>0</v>
      </c>
      <c r="G27" s="6" t="n">
        <v>1464687.1</v>
      </c>
      <c r="H27" s="6" t="n">
        <v>274868.65</v>
      </c>
      <c r="I27" s="6" t="n">
        <v>143551.39</v>
      </c>
      <c r="J27" s="6" t="n">
        <v>131317.26</v>
      </c>
      <c r="K27" s="6">
        <f>IF(D27="متوقف",0,H27*الافتراضات!$B$4)</f>
        <v/>
      </c>
      <c r="L27" s="7">
        <f>IF(G27=0,"",K27/G27-1)</f>
        <v/>
      </c>
      <c r="M27" s="6">
        <f>IFERROR(VLOOKUP(A27,التوقعات!$A$4:$I$41,9,FALSE),0)</f>
        <v/>
      </c>
      <c r="N27" s="7">
        <f>IF(M27=0,"",K27/M27)</f>
        <v/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>
        <f>IF(AND(59500.0=0,59500.0=0),"متوقف","نشط")</f>
        <v/>
      </c>
      <c r="E28" s="6" t="n">
        <v>4544553</v>
      </c>
      <c r="F28" s="6" t="n">
        <v>486100</v>
      </c>
      <c r="G28" s="6" t="n">
        <v>352900</v>
      </c>
      <c r="H28" s="6" t="n">
        <v>59500</v>
      </c>
      <c r="I28" s="6" t="n">
        <v>0</v>
      </c>
      <c r="J28" s="6" t="n">
        <v>59500</v>
      </c>
      <c r="K28" s="6">
        <f>IF(D28="متوقف",0,H28*الافتراضات!$B$4)</f>
        <v/>
      </c>
      <c r="L28" s="7">
        <f>IF(G28=0,"",K28/G28-1)</f>
        <v/>
      </c>
      <c r="M28" s="6">
        <f>IFERROR(VLOOKUP(A28,التوقعات!$A$4:$I$41,9,FALSE),0)</f>
        <v/>
      </c>
      <c r="N28" s="7">
        <f>IF(M28=0,"",K28/M28)</f>
        <v/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>
        <f>IF(AND(1447854.96=0,1357611.55=0),"متوقف","نشط")</f>
        <v/>
      </c>
      <c r="E29" s="6" t="n">
        <v>838420.1899999999</v>
      </c>
      <c r="F29" s="6" t="n">
        <v>2043840.5</v>
      </c>
      <c r="G29" s="6" t="n">
        <v>2454143.51</v>
      </c>
      <c r="H29" s="6" t="n">
        <v>1357611.55</v>
      </c>
      <c r="I29" s="6" t="n">
        <v>1354461.55</v>
      </c>
      <c r="J29" s="6" t="n">
        <v>3150</v>
      </c>
      <c r="K29" s="6">
        <f>IF(D29="متوقف",0,H29*الافتراضات!$B$4)</f>
        <v/>
      </c>
      <c r="L29" s="7">
        <f>IF(G29=0,"",K29/G29-1)</f>
        <v/>
      </c>
      <c r="M29" s="6">
        <f>IFERROR(VLOOKUP(A29,التوقعات!$A$4:$I$41,9,FALSE),0)</f>
        <v/>
      </c>
      <c r="N29" s="7">
        <f>IF(M29=0,"",K29/M29)</f>
        <v/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>
        <f>IF(AND(476400.0=0,342700.0=0),"متوقف","نشط")</f>
        <v/>
      </c>
      <c r="E30" s="6" t="n">
        <v>845300</v>
      </c>
      <c r="F30" s="6" t="n">
        <v>1408700</v>
      </c>
      <c r="G30" s="6" t="n">
        <v>1275300</v>
      </c>
      <c r="H30" s="6" t="n">
        <v>342700</v>
      </c>
      <c r="I30" s="6" t="n">
        <v>189300</v>
      </c>
      <c r="J30" s="6" t="n">
        <v>153400</v>
      </c>
      <c r="K30" s="6">
        <f>IF(D30="متوقف",0,H30*الافتراضات!$B$4)</f>
        <v/>
      </c>
      <c r="L30" s="7">
        <f>IF(G30=0,"",K30/G30-1)</f>
        <v/>
      </c>
      <c r="M30" s="6">
        <f>IFERROR(VLOOKUP(A30,التوقعات!$A$4:$I$41,9,FALSE),0)</f>
        <v/>
      </c>
      <c r="N30" s="7">
        <f>IF(M30=0,"",K30/M30)</f>
        <v/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>
        <f>IF(AND(646845.12=0,594187.77=0),"متوقف","نشط")</f>
        <v/>
      </c>
      <c r="E31" s="6" t="n">
        <v>609446.45</v>
      </c>
      <c r="F31" s="6" t="n">
        <v>1038687.25</v>
      </c>
      <c r="G31" s="6" t="n">
        <v>809215.9</v>
      </c>
      <c r="H31" s="6" t="n">
        <v>594187.77</v>
      </c>
      <c r="I31" s="6" t="n">
        <v>579245.45</v>
      </c>
      <c r="J31" s="6" t="n">
        <v>14942.32</v>
      </c>
      <c r="K31" s="6">
        <f>IF(D31="متوقف",0,H31*الافتراضات!$B$4)</f>
        <v/>
      </c>
      <c r="L31" s="7">
        <f>IF(G31=0,"",K31/G31-1)</f>
        <v/>
      </c>
      <c r="M31" s="6">
        <f>IFERROR(VLOOKUP(A31,التوقعات!$A$4:$I$41,9,FALSE),0)</f>
        <v/>
      </c>
      <c r="N31" s="7">
        <f>IF(M31=0,"",K31/M31)</f>
        <v/>
      </c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>
        <f>IF(AND(60000.0=0,60000.0=0),"متوقف","نشط")</f>
        <v/>
      </c>
      <c r="E32" s="6" t="n">
        <v>910572</v>
      </c>
      <c r="F32" s="6" t="n">
        <v>2120000</v>
      </c>
      <c r="G32" s="6" t="n">
        <v>30000</v>
      </c>
      <c r="H32" s="6" t="n">
        <v>60000</v>
      </c>
      <c r="I32" s="6" t="n">
        <v>0</v>
      </c>
      <c r="J32" s="6" t="n">
        <v>60000</v>
      </c>
      <c r="K32" s="6">
        <f>IF(D32="متوقف",0,H32*الافتراضات!$B$4)</f>
        <v/>
      </c>
      <c r="L32" s="7">
        <f>IF(G32=0,"",K32/G32-1)</f>
        <v/>
      </c>
      <c r="M32" s="6">
        <f>IFERROR(VLOOKUP(A32,التوقعات!$A$4:$I$41,9,FALSE),0)</f>
        <v/>
      </c>
      <c r="N32" s="7">
        <f>IF(M32=0,"",K32/M32)</f>
        <v/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>
        <f>IF(AND(100.0=0,100.0=0),"متوقف","نشط")</f>
        <v/>
      </c>
      <c r="E33" s="6" t="n">
        <v>536299.9399999999</v>
      </c>
      <c r="F33" s="6" t="n">
        <v>1217856.22</v>
      </c>
      <c r="G33" s="6" t="n">
        <v>591946.73</v>
      </c>
      <c r="H33" s="6" t="n">
        <v>100</v>
      </c>
      <c r="I33" s="6" t="n">
        <v>0</v>
      </c>
      <c r="J33" s="6" t="n">
        <v>100</v>
      </c>
      <c r="K33" s="6">
        <f>IF(D33="متوقف",0,H33*الافتراضات!$B$4)</f>
        <v/>
      </c>
      <c r="L33" s="7">
        <f>IF(G33=0,"",K33/G33-1)</f>
        <v/>
      </c>
      <c r="M33" s="6">
        <f>IFERROR(VLOOKUP(A33,التوقعات!$A$4:$I$41,9,FALSE),0)</f>
        <v/>
      </c>
      <c r="N33" s="7">
        <f>IF(M33=0,"",K33/M33)</f>
        <v/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>
        <f>IF(AND(200184.61=0,158934.61=0),"متوقف","نشط")</f>
        <v/>
      </c>
      <c r="E34" s="6" t="n">
        <v>54000</v>
      </c>
      <c r="F34" s="6" t="n">
        <v>90000</v>
      </c>
      <c r="G34" s="6" t="n">
        <v>229800</v>
      </c>
      <c r="H34" s="6" t="n">
        <v>158934.61</v>
      </c>
      <c r="I34" s="6" t="n">
        <v>152461.09</v>
      </c>
      <c r="J34" s="6" t="n">
        <v>6473.52</v>
      </c>
      <c r="K34" s="6">
        <f>IF(D34="متوقف",0,H34*الافتراضات!$B$4)</f>
        <v/>
      </c>
      <c r="L34" s="7">
        <f>IF(G34=0,"",K34/G34-1)</f>
        <v/>
      </c>
      <c r="M34" s="6">
        <f>IFERROR(VLOOKUP(A34,التوقعات!$A$4:$I$41,9,FALSE),0)</f>
        <v/>
      </c>
      <c r="N34" s="7">
        <f>IF(M34=0,"",K34/M34)</f>
        <v/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>
        <f>IF(AND(361665.23=0,216725.66=0),"متوقف","نشط")</f>
        <v/>
      </c>
      <c r="E35" s="6" t="n">
        <v>0</v>
      </c>
      <c r="F35" s="6" t="n">
        <v>0</v>
      </c>
      <c r="G35" s="6" t="n">
        <v>152767.79</v>
      </c>
      <c r="H35" s="6" t="n">
        <v>216725.66</v>
      </c>
      <c r="I35" s="6" t="n">
        <v>216725.66</v>
      </c>
      <c r="J35" s="6" t="n">
        <v>0</v>
      </c>
      <c r="K35" s="6">
        <f>IF(D35="متوقف",0,H35*الافتراضات!$B$4)</f>
        <v/>
      </c>
      <c r="L35" s="7">
        <f>IF(G35=0,"",K35/G35-1)</f>
        <v/>
      </c>
      <c r="M35" s="6">
        <f>IFERROR(VLOOKUP(A35,التوقعات!$A$4:$I$41,9,FALSE),0)</f>
        <v/>
      </c>
      <c r="N35" s="7">
        <f>IF(M35=0,"",K35/M35)</f>
        <v/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>
        <f>IF(AND(0.0=0,0.0=0),"متوقف","نشط")</f>
        <v/>
      </c>
      <c r="E36" s="6" t="n">
        <v>27000</v>
      </c>
      <c r="F36" s="6" t="n">
        <v>5167</v>
      </c>
      <c r="G36" s="6" t="n">
        <v>27000</v>
      </c>
      <c r="H36" s="6" t="n">
        <v>0</v>
      </c>
      <c r="I36" s="6" t="n">
        <v>0</v>
      </c>
      <c r="J36" s="6" t="n">
        <v>0</v>
      </c>
      <c r="K36" s="6">
        <f>IF(D36="متوقف",0,H36*الافتراضات!$B$4)</f>
        <v/>
      </c>
      <c r="L36" s="7">
        <f>IF(G36=0,"",K36/G36-1)</f>
        <v/>
      </c>
      <c r="M36" s="6">
        <f>IFERROR(VLOOKUP(A36,التوقعات!$A$4:$I$41,9,FALSE),0)</f>
        <v/>
      </c>
      <c r="N36" s="7">
        <f>IF(M36=0,"",K36/M36)</f>
        <v/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>
        <f>IF(AND(432.0=0,432.0=0),"متوقف","نشط")</f>
        <v/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 t="n">
        <v>0</v>
      </c>
      <c r="J37" s="6" t="n">
        <v>432</v>
      </c>
      <c r="K37" s="6">
        <f>IF(D37="متوقف",0,H37*الافتراضات!$B$4)</f>
        <v/>
      </c>
      <c r="L37" s="7">
        <f>IF(G37=0,"",K37/G37-1)</f>
        <v/>
      </c>
      <c r="M37" s="6">
        <f>IFERROR(VLOOKUP(A37,التوقعات!$A$4:$I$41,9,FALSE),0)</f>
        <v/>
      </c>
      <c r="N37" s="7">
        <f>IF(M37=0,"",K37/M37)</f>
        <v/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>
        <f>IF(AND(600.0=0,600.0=0),"متوقف","نشط")</f>
        <v/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 t="n">
        <v>0</v>
      </c>
      <c r="J38" s="6" t="n">
        <v>600</v>
      </c>
      <c r="K38" s="6">
        <f>IF(D38="متوقف",0,H38*الافتراضات!$B$4)</f>
        <v/>
      </c>
      <c r="L38" s="7">
        <f>IF(G38=0,"",K38/G38-1)</f>
        <v/>
      </c>
      <c r="M38" s="6">
        <f>IFERROR(VLOOKUP(A38,التوقعات!$A$4:$I$41,9,FALSE),0)</f>
        <v/>
      </c>
      <c r="N38" s="7">
        <f>IF(M38=0,"",K38/M38)</f>
        <v/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>
        <f>IF(AND(6350.0=0,5550.0=0),"متوقف","نشط")</f>
        <v/>
      </c>
      <c r="E39" s="6" t="n">
        <v>0</v>
      </c>
      <c r="F39" s="6" t="n">
        <v>0</v>
      </c>
      <c r="G39" s="6" t="n">
        <v>20650</v>
      </c>
      <c r="H39" s="6" t="n">
        <v>5550</v>
      </c>
      <c r="I39" s="6" t="n">
        <v>5450</v>
      </c>
      <c r="J39" s="6" t="n">
        <v>100</v>
      </c>
      <c r="K39" s="6">
        <f>IF(D39="متوقف",0,H39*الافتراضات!$B$4)</f>
        <v/>
      </c>
      <c r="L39" s="7">
        <f>IF(G39=0,"",K39/G39-1)</f>
        <v/>
      </c>
      <c r="M39" s="6">
        <f>IFERROR(VLOOKUP(A39,التوقعات!$A$4:$I$41,9,FALSE),0)</f>
        <v/>
      </c>
      <c r="N39" s="7">
        <f>IF(M39=0,"",K39/M39)</f>
        <v/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>
        <f>IF(AND(0.0=0,0.0=0),"متوقف","نشط")</f>
        <v/>
      </c>
      <c r="E40" s="6" t="n">
        <v>16385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>
        <f>IF(D40="متوقف",0,H40*الافتراضات!$B$4)</f>
        <v/>
      </c>
      <c r="L40" s="7">
        <f>IF(G40=0,"",K40/G40-1)</f>
        <v/>
      </c>
      <c r="M40" s="6">
        <f>IFERROR(VLOOKUP(A40,التوقعات!$A$4:$I$41,9,FALSE),0)</f>
        <v/>
      </c>
      <c r="N40" s="7">
        <f>IF(M40=0,"",K40/M40)</f>
        <v/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>
        <f>IF(AND(0.0=0,0.0=0),"متوقف","نشط")</f>
        <v/>
      </c>
      <c r="E41" s="6" t="n">
        <v>0</v>
      </c>
      <c r="F41" s="6" t="n">
        <v>0</v>
      </c>
      <c r="G41" s="6" t="n">
        <v>6000</v>
      </c>
      <c r="H41" s="6" t="n">
        <v>0</v>
      </c>
      <c r="I41" s="6" t="n">
        <v>0</v>
      </c>
      <c r="J41" s="6" t="n">
        <v>0</v>
      </c>
      <c r="K41" s="6">
        <f>IF(D41="متوقف",0,H41*الافتراضات!$B$4)</f>
        <v/>
      </c>
      <c r="L41" s="7">
        <f>IF(G41=0,"",K41/G41-1)</f>
        <v/>
      </c>
      <c r="M41" s="6">
        <f>IFERROR(VLOOKUP(A41,التوقعات!$A$4:$I$41,9,FALSE),0)</f>
        <v/>
      </c>
      <c r="N41" s="7">
        <f>IF(M41=0,"",K41/M41)</f>
        <v/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9">
        <f>SUM(K4:K41)</f>
        <v/>
      </c>
      <c r="L42" s="10">
        <f>K42/G42-1</f>
        <v/>
      </c>
      <c r="M42" s="9">
        <f>SUM(M4:M41)</f>
        <v/>
      </c>
      <c r="N42" s="10">
        <f>K42/M42</f>
        <v/>
      </c>
    </row>
  </sheetData>
  <autoFilter ref="A3:N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3"/>
  <sheetViews>
    <sheetView rightToLeft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16" customWidth="1" min="3" max="3"/>
    <col width="14" customWidth="1" min="4" max="4"/>
    <col width="14" customWidth="1" min="5" max="5"/>
    <col width="14" customWidth="1" min="6" max="6"/>
    <col width="16" customWidth="1" min="7" max="7"/>
    <col width="12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0" customWidth="1" min="14" max="14"/>
    <col width="90" customWidth="1" min="15" max="15"/>
  </cols>
  <sheetData>
    <row r="1">
      <c r="A1" s="1" t="inlineStr">
        <is>
          <t>لماذا هذا التوقع؟ تحليل كل حساب والسيناريو الأسوأ لإقفال 2026 (محصّل)</t>
        </is>
      </c>
    </row>
    <row r="2" ht="44" customHeight="1">
      <c r="A2" s="12" t="inlineStr">
        <is>
          <t>التوقع الأساسي = المحصل حتى سبتمبر × 12÷9. السيناريو الأسوأ لكل حساب = الأكبر بين (المحصل حتى سبتمبر) و(الأصغر بين التوقع الأساسي ومحصل 2025)، أي: لا نمو عن 2025، والقفزات لا تتكرر، ولا ينزل الحساب عما حُصّل فعلاً. الحد الأدنى المطلق = المحصل حتى سبتمبر بدون أي تحصيل في الربع الأخير. نص السبب ثابت بحسب الافتراضات الحالية.</t>
        </is>
      </c>
    </row>
    <row r="3">
      <c r="A3" s="2" t="inlineStr">
        <is>
          <t>الملخص:</t>
        </is>
      </c>
      <c r="C3" s="13" t="inlineStr">
        <is>
          <t>التوقع الأساسي</t>
        </is>
      </c>
      <c r="D3" s="14">
        <f>J43</f>
        <v/>
      </c>
      <c r="E3" s="13" t="inlineStr">
        <is>
          <t>السيناريو الأسوأ</t>
        </is>
      </c>
      <c r="F3" s="14">
        <f>K43</f>
        <v/>
      </c>
      <c r="G3" s="13" t="inlineStr">
        <is>
          <t>الحد الأدنى المطلق</t>
        </is>
      </c>
      <c r="H3" s="14">
        <f>G43</f>
        <v/>
      </c>
      <c r="I3" s="13" t="inlineStr">
        <is>
          <t>محصل 2025</t>
        </is>
      </c>
      <c r="J3" s="14">
        <f>F43</f>
        <v/>
      </c>
    </row>
    <row r="4" ht="42" customHeight="1">
      <c r="A4" s="4" t="inlineStr">
        <is>
          <t>رقم الحساب</t>
        </is>
      </c>
      <c r="B4" s="4" t="inlineStr">
        <is>
          <t>اسم الحساب</t>
        </is>
      </c>
      <c r="C4" s="4" t="inlineStr">
        <is>
          <t>التبويب</t>
        </is>
      </c>
      <c r="D4" s="4" t="inlineStr">
        <is>
          <t>2023 محصّل</t>
        </is>
      </c>
      <c r="E4" s="4" t="inlineStr">
        <is>
          <t>2024 محصّل</t>
        </is>
      </c>
      <c r="F4" s="4" t="inlineStr">
        <is>
          <t>2025 محصّل</t>
        </is>
      </c>
      <c r="G4" s="4" t="inlineStr">
        <is>
          <t>2026 حتى سبتمبر</t>
        </is>
      </c>
      <c r="H4" s="4" t="inlineStr">
        <is>
          <t>حتى سبتمبر ÷ 2025</t>
        </is>
      </c>
      <c r="I4" s="4" t="inlineStr">
        <is>
          <t>تحصيل الربع الأخير المتوقع</t>
        </is>
      </c>
      <c r="J4" s="4" t="inlineStr">
        <is>
          <t>التوقع الأساسي</t>
        </is>
      </c>
      <c r="K4" s="4" t="inlineStr">
        <is>
          <t>السيناريو الأسوأ</t>
        </is>
      </c>
      <c r="L4" s="4" t="inlineStr">
        <is>
          <t>الفرق (أسوأ − أساسي)</t>
        </is>
      </c>
      <c r="M4" s="4" t="inlineStr">
        <is>
          <t>حصة الحساب من الأساسي</t>
        </is>
      </c>
      <c r="N4" s="4" t="inlineStr">
        <is>
          <t>مستوى الخطر</t>
        </is>
      </c>
      <c r="O4" s="4" t="inlineStr">
        <is>
          <t>سبب التوقع</t>
        </is>
      </c>
    </row>
    <row r="5">
      <c r="A5" s="5" t="inlineStr">
        <is>
          <t>1438001</t>
        </is>
      </c>
      <c r="B5" s="5" t="inlineStr">
        <is>
          <t>جزاءات و غرامات مفروضة بموجب أنظمة الجهة</t>
        </is>
      </c>
      <c r="C5" s="5" t="inlineStr">
        <is>
          <t>جزاءات وغرامات</t>
        </is>
      </c>
      <c r="D5" s="6">
        <f>'توقع المحصل 2026'!E4</f>
        <v/>
      </c>
      <c r="E5" s="6">
        <f>'توقع المحصل 2026'!F4</f>
        <v/>
      </c>
      <c r="F5" s="6">
        <f>'توقع المحصل 2026'!G4</f>
        <v/>
      </c>
      <c r="G5" s="6">
        <f>'توقع المحصل 2026'!H4</f>
        <v/>
      </c>
      <c r="H5" s="15">
        <f>IF(F5=0,"",G5/F5)</f>
        <v/>
      </c>
      <c r="I5" s="6">
        <f>J5-G5</f>
        <v/>
      </c>
      <c r="J5" s="6">
        <f>'توقع المحصل 2026'!K4</f>
        <v/>
      </c>
      <c r="K5" s="6">
        <f>IF(J5=0,0,MAX(G5,MIN(J5,F5)))</f>
        <v/>
      </c>
      <c r="L5" s="6">
        <f>K5-J5</f>
        <v/>
      </c>
      <c r="M5" s="7">
        <f>J5/J$43</f>
        <v/>
      </c>
      <c r="N5" s="5" t="inlineStr">
        <is>
          <t>مرتفع</t>
        </is>
      </c>
      <c r="O5" s="16" t="inlineStr">
        <is>
          <t>قفزة: المحصل حتى سبتمبر (370.6م) يعادل 120% من كل 2025 (308.0م)، والتوقع يفترض أن القفزة تستمر في الربع الأخير. احتمال المبالغة مرتفع.</t>
        </is>
      </c>
    </row>
    <row r="6">
      <c r="A6" s="5" t="inlineStr">
        <is>
          <t>14155</t>
        </is>
      </c>
      <c r="B6" s="5" t="inlineStr">
        <is>
          <t>ريع الأراضي (تأجير الأراض )</t>
        </is>
      </c>
      <c r="C6" s="5" t="inlineStr">
        <is>
          <t>إيرادات إستثمارية</t>
        </is>
      </c>
      <c r="D6" s="6">
        <f>'توقع المحصل 2026'!E5</f>
        <v/>
      </c>
      <c r="E6" s="6">
        <f>'توقع المحصل 2026'!F5</f>
        <v/>
      </c>
      <c r="F6" s="6">
        <f>'توقع المحصل 2026'!G5</f>
        <v/>
      </c>
      <c r="G6" s="6">
        <f>'توقع المحصل 2026'!H5</f>
        <v/>
      </c>
      <c r="H6" s="15">
        <f>IF(F6=0,"",G6/F6)</f>
        <v/>
      </c>
      <c r="I6" s="6">
        <f>J6-G6</f>
        <v/>
      </c>
      <c r="J6" s="6">
        <f>'توقع المحصل 2026'!K5</f>
        <v/>
      </c>
      <c r="K6" s="6">
        <f>IF(J6=0,0,MAX(G6,MIN(J6,F6)))</f>
        <v/>
      </c>
      <c r="L6" s="6">
        <f>K6-J6</f>
        <v/>
      </c>
      <c r="M6" s="7">
        <f>J6/J$43</f>
        <v/>
      </c>
      <c r="N6" s="5" t="inlineStr">
        <is>
          <t>مرتفع</t>
        </is>
      </c>
      <c r="O6" s="16" t="inlineStr">
        <is>
          <t>المحصل حتى سبتمبر (612.9م) بلغ 94% من كل 2025 (649.3م). إضافة الربع الأخير بنفس الوتيرة ترفع التوقع 26% فوق 2025، وإن كان التحصيل يتركز في بداية السنة فالتوقع مبالغ فيه.</t>
        </is>
      </c>
    </row>
    <row r="7">
      <c r="A7" s="5" t="inlineStr">
        <is>
          <t>142113</t>
        </is>
      </c>
      <c r="B7" s="5" t="inlineStr">
        <is>
          <t>ايرادات  اللوحات الدعائية</t>
        </is>
      </c>
      <c r="C7" s="5" t="inlineStr">
        <is>
          <t>الرسوم والتراخيص</t>
        </is>
      </c>
      <c r="D7" s="6">
        <f>'توقع المحصل 2026'!E6</f>
        <v/>
      </c>
      <c r="E7" s="6">
        <f>'توقع المحصل 2026'!F6</f>
        <v/>
      </c>
      <c r="F7" s="6">
        <f>'توقع المحصل 2026'!G6</f>
        <v/>
      </c>
      <c r="G7" s="6">
        <f>'توقع المحصل 2026'!H6</f>
        <v/>
      </c>
      <c r="H7" s="15">
        <f>IF(F7=0,"",G7/F7)</f>
        <v/>
      </c>
      <c r="I7" s="6">
        <f>J7-G7</f>
        <v/>
      </c>
      <c r="J7" s="6">
        <f>'توقع المحصل 2026'!K6</f>
        <v/>
      </c>
      <c r="K7" s="6">
        <f>IF(J7=0,0,MAX(G7,MIN(J7,F7)))</f>
        <v/>
      </c>
      <c r="L7" s="6">
        <f>K7-J7</f>
        <v/>
      </c>
      <c r="M7" s="7">
        <f>J7/J$43</f>
        <v/>
      </c>
      <c r="N7" s="5" t="inlineStr">
        <is>
          <t>مرتفع</t>
        </is>
      </c>
      <c r="O7" s="16" t="inlineStr">
        <is>
          <t>تراجع حاد: المحصل حتى سبتمبر (122.0م) يعادل 12% فقط من 2025 (1,016.9م)؛ التوقع يستمر على هذا المستوى المنخفض.</t>
        </is>
      </c>
    </row>
    <row r="8">
      <c r="A8" s="5" t="inlineStr">
        <is>
          <t>11452104</t>
        </is>
      </c>
      <c r="B8" s="5" t="inlineStr">
        <is>
          <t>إصدار رخص الأنشطة التجارية</t>
        </is>
      </c>
      <c r="C8" s="5" t="inlineStr">
        <is>
          <t>الرسوم والتراخيص</t>
        </is>
      </c>
      <c r="D8" s="6">
        <f>'توقع المحصل 2026'!E7</f>
        <v/>
      </c>
      <c r="E8" s="6">
        <f>'توقع المحصل 2026'!F7</f>
        <v/>
      </c>
      <c r="F8" s="6">
        <f>'توقع المحصل 2026'!G7</f>
        <v/>
      </c>
      <c r="G8" s="6">
        <f>'توقع المحصل 2026'!H7</f>
        <v/>
      </c>
      <c r="H8" s="15">
        <f>IF(F8=0,"",G8/F8)</f>
        <v/>
      </c>
      <c r="I8" s="6">
        <f>J8-G8</f>
        <v/>
      </c>
      <c r="J8" s="6">
        <f>'توقع المحصل 2026'!K7</f>
        <v/>
      </c>
      <c r="K8" s="6">
        <f>IF(J8=0,0,MAX(G8,MIN(J8,F8)))</f>
        <v/>
      </c>
      <c r="L8" s="6">
        <f>K8-J8</f>
        <v/>
      </c>
      <c r="M8" s="7">
        <f>J8/J$43</f>
        <v/>
      </c>
      <c r="N8" s="5" t="inlineStr">
        <is>
          <t>مرتفع</t>
        </is>
      </c>
      <c r="O8" s="16" t="inlineStr">
        <is>
          <t>المحصل حتى سبتمبر (250.4م) بلغ 94% من كل 2025 (267.5م). إضافة الربع الأخير بنفس الوتيرة ترفع التوقع 25% فوق 2025، وإن كان التحصيل يتركز في بداية السنة فالتوقع مبالغ فيه.</t>
        </is>
      </c>
    </row>
    <row r="9">
      <c r="A9" s="5" t="inlineStr">
        <is>
          <t>11452103</t>
        </is>
      </c>
      <c r="B9" s="5" t="inlineStr">
        <is>
          <t>ايراد اصدار تراخيص المباني والاسوار - أمانة منطقة الرياض</t>
        </is>
      </c>
      <c r="C9" s="5" t="inlineStr">
        <is>
          <t>الرسوم والتراخيص</t>
        </is>
      </c>
      <c r="D9" s="6">
        <f>'توقع المحصل 2026'!E8</f>
        <v/>
      </c>
      <c r="E9" s="6">
        <f>'توقع المحصل 2026'!F8</f>
        <v/>
      </c>
      <c r="F9" s="6">
        <f>'توقع المحصل 2026'!G8</f>
        <v/>
      </c>
      <c r="G9" s="6">
        <f>'توقع المحصل 2026'!H8</f>
        <v/>
      </c>
      <c r="H9" s="15">
        <f>IF(F9=0,"",G9/F9)</f>
        <v/>
      </c>
      <c r="I9" s="6">
        <f>J9-G9</f>
        <v/>
      </c>
      <c r="J9" s="6">
        <f>'توقع المحصل 2026'!K8</f>
        <v/>
      </c>
      <c r="K9" s="6">
        <f>IF(J9=0,0,MAX(G9,MIN(J9,F9)))</f>
        <v/>
      </c>
      <c r="L9" s="6">
        <f>K9-J9</f>
        <v/>
      </c>
      <c r="M9" s="7">
        <f>J9/J$43</f>
        <v/>
      </c>
      <c r="N9" s="5" t="inlineStr">
        <is>
          <t>منخفض</t>
        </is>
      </c>
      <c r="O9" s="16" t="inlineStr">
        <is>
          <t>مستقر: التوقع (272.0م) قريب من محصل 2025 (319.7م).</t>
        </is>
      </c>
    </row>
    <row r="10">
      <c r="A10" s="5" t="inlineStr">
        <is>
          <t>11452512</t>
        </is>
      </c>
      <c r="B10" s="5" t="inlineStr">
        <is>
          <t>ايرادات لوحات المحلات</t>
        </is>
      </c>
      <c r="C10" s="5" t="inlineStr">
        <is>
          <t>الرسوم والتراخيص</t>
        </is>
      </c>
      <c r="D10" s="6">
        <f>'توقع المحصل 2026'!E9</f>
        <v/>
      </c>
      <c r="E10" s="6">
        <f>'توقع المحصل 2026'!F9</f>
        <v/>
      </c>
      <c r="F10" s="6">
        <f>'توقع المحصل 2026'!G9</f>
        <v/>
      </c>
      <c r="G10" s="6">
        <f>'توقع المحصل 2026'!H9</f>
        <v/>
      </c>
      <c r="H10" s="15">
        <f>IF(F10=0,"",G10/F10)</f>
        <v/>
      </c>
      <c r="I10" s="6">
        <f>J10-G10</f>
        <v/>
      </c>
      <c r="J10" s="6">
        <f>'توقع المحصل 2026'!K9</f>
        <v/>
      </c>
      <c r="K10" s="6">
        <f>IF(J10=0,0,MAX(G10,MIN(J10,F10)))</f>
        <v/>
      </c>
      <c r="L10" s="6">
        <f>K10-J10</f>
        <v/>
      </c>
      <c r="M10" s="7">
        <f>J10/J$43</f>
        <v/>
      </c>
      <c r="N10" s="5" t="inlineStr">
        <is>
          <t>متوسط</t>
        </is>
      </c>
      <c r="O10" s="16" t="inlineStr">
        <is>
          <t>التوقع أعلى من 2025 بنسبة 20% لأن وتيرة التحصيل حتى سبتمبر أعلى.</t>
        </is>
      </c>
    </row>
    <row r="11">
      <c r="A11" s="5" t="inlineStr">
        <is>
          <t>11442</t>
        </is>
      </c>
      <c r="B11" s="5" t="inlineStr">
        <is>
          <t>اشغال مرافق الايواء</t>
        </is>
      </c>
      <c r="C11" s="5" t="inlineStr">
        <is>
          <t>التبغ والإيواء</t>
        </is>
      </c>
      <c r="D11" s="6">
        <f>'توقع المحصل 2026'!E10</f>
        <v/>
      </c>
      <c r="E11" s="6">
        <f>'توقع المحصل 2026'!F10</f>
        <v/>
      </c>
      <c r="F11" s="6">
        <f>'توقع المحصل 2026'!G10</f>
        <v/>
      </c>
      <c r="G11" s="6">
        <f>'توقع المحصل 2026'!H10</f>
        <v/>
      </c>
      <c r="H11" s="15">
        <f>IF(F11=0,"",G11/F11)</f>
        <v/>
      </c>
      <c r="I11" s="6">
        <f>J11-G11</f>
        <v/>
      </c>
      <c r="J11" s="6">
        <f>'توقع المحصل 2026'!K10</f>
        <v/>
      </c>
      <c r="K11" s="6">
        <f>IF(J11=0,0,MAX(G11,MIN(J11,F11)))</f>
        <v/>
      </c>
      <c r="L11" s="6">
        <f>K11-J11</f>
        <v/>
      </c>
      <c r="M11" s="7">
        <f>J11/J$43</f>
        <v/>
      </c>
      <c r="N11" s="5" t="inlineStr">
        <is>
          <t>منخفض</t>
        </is>
      </c>
      <c r="O11" s="16" t="inlineStr">
        <is>
          <t>مستقر: التوقع (182.2م) قريب من محصل 2025 (199.1م).</t>
        </is>
      </c>
    </row>
    <row r="12">
      <c r="A12" s="5" t="inlineStr">
        <is>
          <t>142162</t>
        </is>
      </c>
      <c r="B12" s="5" t="inlineStr">
        <is>
          <t>إيرادات  تأجير المرافق</t>
        </is>
      </c>
      <c r="C12" s="5" t="inlineStr">
        <is>
          <t>إيرادات إستثمارية</t>
        </is>
      </c>
      <c r="D12" s="6">
        <f>'توقع المحصل 2026'!E11</f>
        <v/>
      </c>
      <c r="E12" s="6">
        <f>'توقع المحصل 2026'!F11</f>
        <v/>
      </c>
      <c r="F12" s="6">
        <f>'توقع المحصل 2026'!G11</f>
        <v/>
      </c>
      <c r="G12" s="6">
        <f>'توقع المحصل 2026'!H11</f>
        <v/>
      </c>
      <c r="H12" s="15">
        <f>IF(F12=0,"",G12/F12)</f>
        <v/>
      </c>
      <c r="I12" s="6">
        <f>J12-G12</f>
        <v/>
      </c>
      <c r="J12" s="6">
        <f>'توقع المحصل 2026'!K11</f>
        <v/>
      </c>
      <c r="K12" s="6">
        <f>IF(J12=0,0,MAX(G12,MIN(J12,F12)))</f>
        <v/>
      </c>
      <c r="L12" s="6">
        <f>K12-J12</f>
        <v/>
      </c>
      <c r="M12" s="7">
        <f>J12/J$43</f>
        <v/>
      </c>
      <c r="N12" s="5" t="inlineStr">
        <is>
          <t>مرتفع</t>
        </is>
      </c>
      <c r="O12" s="16" t="inlineStr">
        <is>
          <t>قفزة: المحصل حتى سبتمبر (428.5م) يعادل 1,674% من كل 2025 (25.6م)، والتوقع يفترض أن القفزة تستمر في الربع الأخير. احتمال المبالغة مرتفع.</t>
        </is>
      </c>
    </row>
    <row r="13">
      <c r="A13" s="5" t="inlineStr">
        <is>
          <t>1421999</t>
        </is>
      </c>
      <c r="B13" s="5" t="inlineStr">
        <is>
          <t>مبيعات أخرى</t>
        </is>
      </c>
      <c r="C13" s="5" t="inlineStr">
        <is>
          <t>أخرى</t>
        </is>
      </c>
      <c r="D13" s="6">
        <f>'توقع المحصل 2026'!E12</f>
        <v/>
      </c>
      <c r="E13" s="6">
        <f>'توقع المحصل 2026'!F12</f>
        <v/>
      </c>
      <c r="F13" s="6">
        <f>'توقع المحصل 2026'!G12</f>
        <v/>
      </c>
      <c r="G13" s="6">
        <f>'توقع المحصل 2026'!H12</f>
        <v/>
      </c>
      <c r="H13" s="15">
        <f>IF(F13=0,"",G13/F13)</f>
        <v/>
      </c>
      <c r="I13" s="6">
        <f>J13-G13</f>
        <v/>
      </c>
      <c r="J13" s="6">
        <f>'توقع المحصل 2026'!K12</f>
        <v/>
      </c>
      <c r="K13" s="6">
        <f>IF(J13=0,0,MAX(G13,MIN(J13,F13)))</f>
        <v/>
      </c>
      <c r="L13" s="6">
        <f>K13-J13</f>
        <v/>
      </c>
      <c r="M13" s="7">
        <f>J13/J$43</f>
        <v/>
      </c>
      <c r="N13" s="5" t="inlineStr">
        <is>
          <t>مرتفع</t>
        </is>
      </c>
      <c r="O13" s="16" t="inlineStr">
        <is>
          <t>قفزة: المحصل حتى سبتمبر (134.1م) يعادل 223% من كل 2025 (60.1م)، والتوقع يفترض أن القفزة تستمر في الربع الأخير. احتمال المبالغة مرتفع.</t>
        </is>
      </c>
    </row>
    <row r="14">
      <c r="A14" s="5" t="inlineStr">
        <is>
          <t>144122</t>
        </is>
      </c>
      <c r="B14" s="5" t="inlineStr">
        <is>
          <t>إيرادات  متنوعه</t>
        </is>
      </c>
      <c r="C14" s="5" t="inlineStr">
        <is>
          <t>أخرى</t>
        </is>
      </c>
      <c r="D14" s="6">
        <f>'توقع المحصل 2026'!E13</f>
        <v/>
      </c>
      <c r="E14" s="6">
        <f>'توقع المحصل 2026'!F13</f>
        <v/>
      </c>
      <c r="F14" s="6">
        <f>'توقع المحصل 2026'!G13</f>
        <v/>
      </c>
      <c r="G14" s="6">
        <f>'توقع المحصل 2026'!H13</f>
        <v/>
      </c>
      <c r="H14" s="15">
        <f>IF(F14=0,"",G14/F14)</f>
        <v/>
      </c>
      <c r="I14" s="6">
        <f>J14-G14</f>
        <v/>
      </c>
      <c r="J14" s="6">
        <f>'توقع المحصل 2026'!K13</f>
        <v/>
      </c>
      <c r="K14" s="6">
        <f>IF(J14=0,0,MAX(G14,MIN(J14,F14)))</f>
        <v/>
      </c>
      <c r="L14" s="6">
        <f>K14-J14</f>
        <v/>
      </c>
      <c r="M14" s="7">
        <f>J14/J$43</f>
        <v/>
      </c>
      <c r="N14" s="5" t="inlineStr">
        <is>
          <t>مرتفع</t>
        </is>
      </c>
      <c r="O14" s="16" t="inlineStr">
        <is>
          <t>قفزة: المحصل حتى سبتمبر (20.8م) يعادل 840% من كل 2025 (2.5م)، والتوقع يفترض أن القفزة تستمر في الربع الأخير. احتمال المبالغة مرتفع.</t>
        </is>
      </c>
    </row>
    <row r="15">
      <c r="A15" s="5" t="inlineStr">
        <is>
          <t>1421911</t>
        </is>
      </c>
      <c r="B15" s="5" t="inlineStr">
        <is>
          <t>رسم مبيعات محلات تقديم منتجات التبغ</t>
        </is>
      </c>
      <c r="C15" s="5" t="inlineStr">
        <is>
          <t>التبغ والإيواء</t>
        </is>
      </c>
      <c r="D15" s="6">
        <f>'توقع المحصل 2026'!E14</f>
        <v/>
      </c>
      <c r="E15" s="6">
        <f>'توقع المحصل 2026'!F14</f>
        <v/>
      </c>
      <c r="F15" s="6">
        <f>'توقع المحصل 2026'!G14</f>
        <v/>
      </c>
      <c r="G15" s="6">
        <f>'توقع المحصل 2026'!H14</f>
        <v/>
      </c>
      <c r="H15" s="15">
        <f>IF(F15=0,"",G15/F15)</f>
        <v/>
      </c>
      <c r="I15" s="6">
        <f>J15-G15</f>
        <v/>
      </c>
      <c r="J15" s="6">
        <f>'توقع المحصل 2026'!K14</f>
        <v/>
      </c>
      <c r="K15" s="6">
        <f>IF(J15=0,0,MAX(G15,MIN(J15,F15)))</f>
        <v/>
      </c>
      <c r="L15" s="6">
        <f>K15-J15</f>
        <v/>
      </c>
      <c r="M15" s="7">
        <f>J15/J$43</f>
        <v/>
      </c>
      <c r="N15" s="5" t="inlineStr">
        <is>
          <t>منخفض</t>
        </is>
      </c>
      <c r="O15" s="16" t="inlineStr">
        <is>
          <t>مستقر: التوقع (75.6م) قريب من محصل 2025 (67.6م).</t>
        </is>
      </c>
    </row>
    <row r="16">
      <c r="A16" s="5" t="inlineStr">
        <is>
          <t>1421909</t>
        </is>
      </c>
      <c r="B16" s="5" t="inlineStr">
        <is>
          <t>جمع النفايات</t>
        </is>
      </c>
      <c r="C16" s="5" t="inlineStr">
        <is>
          <t>الرسوم والتراخيص</t>
        </is>
      </c>
      <c r="D16" s="6">
        <f>'توقع المحصل 2026'!E15</f>
        <v/>
      </c>
      <c r="E16" s="6">
        <f>'توقع المحصل 2026'!F15</f>
        <v/>
      </c>
      <c r="F16" s="6">
        <f>'توقع المحصل 2026'!G15</f>
        <v/>
      </c>
      <c r="G16" s="6">
        <f>'توقع المحصل 2026'!H15</f>
        <v/>
      </c>
      <c r="H16" s="15">
        <f>IF(F16=0,"",G16/F16)</f>
        <v/>
      </c>
      <c r="I16" s="6">
        <f>J16-G16</f>
        <v/>
      </c>
      <c r="J16" s="6">
        <f>'توقع المحصل 2026'!K15</f>
        <v/>
      </c>
      <c r="K16" s="6">
        <f>IF(J16=0,0,MAX(G16,MIN(J16,F16)))</f>
        <v/>
      </c>
      <c r="L16" s="6">
        <f>K16-J16</f>
        <v/>
      </c>
      <c r="M16" s="7">
        <f>J16/J$43</f>
        <v/>
      </c>
      <c r="N16" s="5" t="inlineStr">
        <is>
          <t>مرتفع</t>
        </is>
      </c>
      <c r="O16" s="16" t="inlineStr">
        <is>
          <t>المحصل حتى سبتمبر (72.2م) بلغ 99% من كل 2025 (72.8م). إضافة الربع الأخير بنفس الوتيرة ترفع التوقع 32% فوق 2025، وإن كان التحصيل يتركز في بداية السنة فالتوقع مبالغ فيه.</t>
        </is>
      </c>
    </row>
    <row r="17">
      <c r="A17" s="5" t="inlineStr">
        <is>
          <t>11452105</t>
        </is>
      </c>
      <c r="B17" s="5" t="inlineStr">
        <is>
          <t>رسوم تراخيص حفر الشوارع</t>
        </is>
      </c>
      <c r="C17" s="5" t="inlineStr">
        <is>
          <t>الرسوم والتراخيص</t>
        </is>
      </c>
      <c r="D17" s="6">
        <f>'توقع المحصل 2026'!E16</f>
        <v/>
      </c>
      <c r="E17" s="6">
        <f>'توقع المحصل 2026'!F16</f>
        <v/>
      </c>
      <c r="F17" s="6">
        <f>'توقع المحصل 2026'!G16</f>
        <v/>
      </c>
      <c r="G17" s="6">
        <f>'توقع المحصل 2026'!H16</f>
        <v/>
      </c>
      <c r="H17" s="15">
        <f>IF(F17=0,"",G17/F17)</f>
        <v/>
      </c>
      <c r="I17" s="6">
        <f>J17-G17</f>
        <v/>
      </c>
      <c r="J17" s="6">
        <f>'توقع المحصل 2026'!K16</f>
        <v/>
      </c>
      <c r="K17" s="6">
        <f>IF(J17=0,0,MAX(G17,MIN(J17,F17)))</f>
        <v/>
      </c>
      <c r="L17" s="6">
        <f>K17-J17</f>
        <v/>
      </c>
      <c r="M17" s="7">
        <f>J17/J$43</f>
        <v/>
      </c>
      <c r="N17" s="5" t="inlineStr">
        <is>
          <t>مرتفع</t>
        </is>
      </c>
      <c r="O17" s="16" t="inlineStr">
        <is>
          <t>تراجع حاد: المحصل حتى سبتمبر (0.0م) يعادل 0% فقط من 2025 (0.6م)؛ التوقع يستمر على هذا المستوى المنخفض.</t>
        </is>
      </c>
    </row>
    <row r="18">
      <c r="A18" s="5" t="inlineStr">
        <is>
          <t>11452108</t>
        </is>
      </c>
      <c r="B18" s="5" t="inlineStr">
        <is>
          <t>ايراد اصدار القرارات المساحية - أمانة منطقة الرياض</t>
        </is>
      </c>
      <c r="C18" s="5" t="inlineStr">
        <is>
          <t>الرسوم والتراخيص</t>
        </is>
      </c>
      <c r="D18" s="6">
        <f>'توقع المحصل 2026'!E17</f>
        <v/>
      </c>
      <c r="E18" s="6">
        <f>'توقع المحصل 2026'!F17</f>
        <v/>
      </c>
      <c r="F18" s="6">
        <f>'توقع المحصل 2026'!G17</f>
        <v/>
      </c>
      <c r="G18" s="6">
        <f>'توقع المحصل 2026'!H17</f>
        <v/>
      </c>
      <c r="H18" s="15">
        <f>IF(F18=0,"",G18/F18)</f>
        <v/>
      </c>
      <c r="I18" s="6">
        <f>J18-G18</f>
        <v/>
      </c>
      <c r="J18" s="6">
        <f>'توقع المحصل 2026'!K17</f>
        <v/>
      </c>
      <c r="K18" s="6">
        <f>IF(J18=0,0,MAX(G18,MIN(J18,F18)))</f>
        <v/>
      </c>
      <c r="L18" s="6">
        <f>K18-J18</f>
        <v/>
      </c>
      <c r="M18" s="7">
        <f>J18/J$43</f>
        <v/>
      </c>
      <c r="N18" s="5" t="inlineStr">
        <is>
          <t>مرتفع</t>
        </is>
      </c>
      <c r="O18" s="16" t="inlineStr">
        <is>
          <t>قفزة: المحصل حتى سبتمبر (31.2م) يعادل 127% من كل 2025 (24.5م)، والتوقع يفترض أن القفزة تستمر في الربع الأخير. احتمال المبالغة مرتفع.</t>
        </is>
      </c>
    </row>
    <row r="19">
      <c r="A19" s="5" t="inlineStr">
        <is>
          <t>1422108</t>
        </is>
      </c>
      <c r="B19" s="5" t="inlineStr">
        <is>
          <t>الشهادات الصحية</t>
        </is>
      </c>
      <c r="C19" s="5" t="inlineStr">
        <is>
          <t>الرسوم والتراخيص</t>
        </is>
      </c>
      <c r="D19" s="6">
        <f>'توقع المحصل 2026'!E18</f>
        <v/>
      </c>
      <c r="E19" s="6">
        <f>'توقع المحصل 2026'!F18</f>
        <v/>
      </c>
      <c r="F19" s="6">
        <f>'توقع المحصل 2026'!G18</f>
        <v/>
      </c>
      <c r="G19" s="6">
        <f>'توقع المحصل 2026'!H18</f>
        <v/>
      </c>
      <c r="H19" s="15">
        <f>IF(F19=0,"",G19/F19)</f>
        <v/>
      </c>
      <c r="I19" s="6">
        <f>J19-G19</f>
        <v/>
      </c>
      <c r="J19" s="6">
        <f>'توقع المحصل 2026'!K18</f>
        <v/>
      </c>
      <c r="K19" s="6">
        <f>IF(J19=0,0,MAX(G19,MIN(J19,F19)))</f>
        <v/>
      </c>
      <c r="L19" s="6">
        <f>K19-J19</f>
        <v/>
      </c>
      <c r="M19" s="7">
        <f>J19/J$43</f>
        <v/>
      </c>
      <c r="N19" s="5" t="inlineStr">
        <is>
          <t>منخفض</t>
        </is>
      </c>
      <c r="O19" s="16" t="inlineStr">
        <is>
          <t>مستقر: التوقع (23.5م) قريب من محصل 2025 (26.1م).</t>
        </is>
      </c>
    </row>
    <row r="20">
      <c r="A20" s="5" t="inlineStr">
        <is>
          <t>1422121</t>
        </is>
      </c>
      <c r="B20" s="5" t="inlineStr">
        <is>
          <t>رسم ترخيص نشاط تقديم منتجات التبغ</t>
        </is>
      </c>
      <c r="C20" s="5" t="inlineStr">
        <is>
          <t>التبغ والإيواء</t>
        </is>
      </c>
      <c r="D20" s="6">
        <f>'توقع المحصل 2026'!E19</f>
        <v/>
      </c>
      <c r="E20" s="6">
        <f>'توقع المحصل 2026'!F19</f>
        <v/>
      </c>
      <c r="F20" s="6">
        <f>'توقع المحصل 2026'!G19</f>
        <v/>
      </c>
      <c r="G20" s="6">
        <f>'توقع المحصل 2026'!H19</f>
        <v/>
      </c>
      <c r="H20" s="15">
        <f>IF(F20=0,"",G20/F20)</f>
        <v/>
      </c>
      <c r="I20" s="6">
        <f>J20-G20</f>
        <v/>
      </c>
      <c r="J20" s="6">
        <f>'توقع المحصل 2026'!K19</f>
        <v/>
      </c>
      <c r="K20" s="6">
        <f>IF(J20=0,0,MAX(G20,MIN(J20,F20)))</f>
        <v/>
      </c>
      <c r="L20" s="6">
        <f>K20-J20</f>
        <v/>
      </c>
      <c r="M20" s="7">
        <f>J20/J$43</f>
        <v/>
      </c>
      <c r="N20" s="5" t="inlineStr">
        <is>
          <t>متوسط</t>
        </is>
      </c>
      <c r="O20" s="16" t="inlineStr">
        <is>
          <t>التوقع أعلى من 2025 بنسبة 18% لأن وتيرة التحصيل حتى سبتمبر أعلى.</t>
        </is>
      </c>
    </row>
    <row r="21">
      <c r="A21" s="5" t="inlineStr">
        <is>
          <t>بدون رقم</t>
        </is>
      </c>
      <c r="B21" s="5" t="inlineStr">
        <is>
          <t>بدون رقم (خدمات علم + جزاءات)</t>
        </is>
      </c>
      <c r="C21" s="5" t="inlineStr">
        <is>
          <t>علم / جزاءات</t>
        </is>
      </c>
      <c r="D21" s="6">
        <f>'توقع المحصل 2026'!E20</f>
        <v/>
      </c>
      <c r="E21" s="6">
        <f>'توقع المحصل 2026'!F20</f>
        <v/>
      </c>
      <c r="F21" s="6">
        <f>'توقع المحصل 2026'!G20</f>
        <v/>
      </c>
      <c r="G21" s="6">
        <f>'توقع المحصل 2026'!H20</f>
        <v/>
      </c>
      <c r="H21" s="15">
        <f>IF(F21=0,"",G21/F21)</f>
        <v/>
      </c>
      <c r="I21" s="6">
        <f>J21-G21</f>
        <v/>
      </c>
      <c r="J21" s="6">
        <f>'توقع المحصل 2026'!K20</f>
        <v/>
      </c>
      <c r="K21" s="6">
        <f>IF(J21=0,0,MAX(G21,MIN(J21,F21)))</f>
        <v/>
      </c>
      <c r="L21" s="6">
        <f>K21-J21</f>
        <v/>
      </c>
      <c r="M21" s="7">
        <f>J21/J$43</f>
        <v/>
      </c>
      <c r="N21" s="5" t="inlineStr">
        <is>
          <t>مرتفع</t>
        </is>
      </c>
      <c r="O21" s="16" t="inlineStr">
        <is>
          <t>تراجع حاد: المحصل حتى سبتمبر (2.1م) يعادل 10% فقط من 2025 (21.8م)؛ التوقع يستمر على هذا المستوى المنخفض.</t>
        </is>
      </c>
    </row>
    <row r="22">
      <c r="A22" s="5" t="inlineStr">
        <is>
          <t>142163</t>
        </is>
      </c>
      <c r="B22" s="5" t="inlineStr">
        <is>
          <t>إيرادات  تأجير مباني تجارية</t>
        </is>
      </c>
      <c r="C22" s="5" t="inlineStr">
        <is>
          <t>إيرادات إستثمارية</t>
        </is>
      </c>
      <c r="D22" s="6">
        <f>'توقع المحصل 2026'!E21</f>
        <v/>
      </c>
      <c r="E22" s="6">
        <f>'توقع المحصل 2026'!F21</f>
        <v/>
      </c>
      <c r="F22" s="6">
        <f>'توقع المحصل 2026'!G21</f>
        <v/>
      </c>
      <c r="G22" s="6">
        <f>'توقع المحصل 2026'!H21</f>
        <v/>
      </c>
      <c r="H22" s="15">
        <f>IF(F22=0,"",G22/F22)</f>
        <v/>
      </c>
      <c r="I22" s="6">
        <f>J22-G22</f>
        <v/>
      </c>
      <c r="J22" s="6">
        <f>'توقع المحصل 2026'!K21</f>
        <v/>
      </c>
      <c r="K22" s="6">
        <f>IF(J22=0,0,MAX(G22,MIN(J22,F22)))</f>
        <v/>
      </c>
      <c r="L22" s="6">
        <f>K22-J22</f>
        <v/>
      </c>
      <c r="M22" s="7">
        <f>J22/J$43</f>
        <v/>
      </c>
      <c r="N22" s="5" t="inlineStr">
        <is>
          <t>مرتفع</t>
        </is>
      </c>
      <c r="O22" s="16" t="inlineStr">
        <is>
          <t>قفزة: المحصل حتى سبتمبر (10.2م) يعادل 339% من كل 2025 (3.0م)، والتوقع يفترض أن القفزة تستمر في الربع الأخير. احتمال المبالغة مرتفع.</t>
        </is>
      </c>
    </row>
    <row r="23">
      <c r="A23" s="5" t="inlineStr">
        <is>
          <t>1422109</t>
        </is>
      </c>
      <c r="B23" s="5" t="inlineStr">
        <is>
          <t>ايرادات  الكشفية</t>
        </is>
      </c>
      <c r="C23" s="5" t="inlineStr">
        <is>
          <t>الرسوم والتراخيص</t>
        </is>
      </c>
      <c r="D23" s="6">
        <f>'توقع المحصل 2026'!E22</f>
        <v/>
      </c>
      <c r="E23" s="6">
        <f>'توقع المحصل 2026'!F22</f>
        <v/>
      </c>
      <c r="F23" s="6">
        <f>'توقع المحصل 2026'!G22</f>
        <v/>
      </c>
      <c r="G23" s="6">
        <f>'توقع المحصل 2026'!H22</f>
        <v/>
      </c>
      <c r="H23" s="15">
        <f>IF(F23=0,"",G23/F23)</f>
        <v/>
      </c>
      <c r="I23" s="6">
        <f>J23-G23</f>
        <v/>
      </c>
      <c r="J23" s="6">
        <f>'توقع المحصل 2026'!K22</f>
        <v/>
      </c>
      <c r="K23" s="6">
        <f>IF(J23=0,0,MAX(G23,MIN(J23,F23)))</f>
        <v/>
      </c>
      <c r="L23" s="6">
        <f>K23-J23</f>
        <v/>
      </c>
      <c r="M23" s="7">
        <f>J23/J$43</f>
        <v/>
      </c>
      <c r="N23" s="5" t="inlineStr">
        <is>
          <t>منخفض</t>
        </is>
      </c>
      <c r="O23" s="16" t="inlineStr">
        <is>
          <t>مستقر: التوقع (7.6م) قريب من محصل 2025 (7.1م).</t>
        </is>
      </c>
    </row>
    <row r="24">
      <c r="A24" s="5" t="inlineStr">
        <is>
          <t>11452111</t>
        </is>
      </c>
      <c r="B24" s="5" t="inlineStr">
        <is>
          <t>المقابل المالي للسماح للأنشطة التجارية بالعمل (24) ساعة</t>
        </is>
      </c>
      <c r="C24" s="5" t="inlineStr">
        <is>
          <t>الرسوم والتراخيص</t>
        </is>
      </c>
      <c r="D24" s="6">
        <f>'توقع المحصل 2026'!E23</f>
        <v/>
      </c>
      <c r="E24" s="6">
        <f>'توقع المحصل 2026'!F23</f>
        <v/>
      </c>
      <c r="F24" s="6">
        <f>'توقع المحصل 2026'!G23</f>
        <v/>
      </c>
      <c r="G24" s="6">
        <f>'توقع المحصل 2026'!H23</f>
        <v/>
      </c>
      <c r="H24" s="15">
        <f>IF(F24=0,"",G24/F24)</f>
        <v/>
      </c>
      <c r="I24" s="6">
        <f>J24-G24</f>
        <v/>
      </c>
      <c r="J24" s="6">
        <f>'توقع المحصل 2026'!K23</f>
        <v/>
      </c>
      <c r="K24" s="6">
        <f>IF(J24=0,0,MAX(G24,MIN(J24,F24)))</f>
        <v/>
      </c>
      <c r="L24" s="6">
        <f>K24-J24</f>
        <v/>
      </c>
      <c r="M24" s="7">
        <f>J24/J$43</f>
        <v/>
      </c>
      <c r="N24" s="5" t="inlineStr">
        <is>
          <t>مرتفع</t>
        </is>
      </c>
      <c r="O24" s="16" t="inlineStr">
        <is>
          <t>قفزة: المحصل حتى سبتمبر (11.4م) يعادل 198% من كل 2025 (5.8م)، والتوقع يفترض أن القفزة تستمر في الربع الأخير. احتمال المبالغة مرتفع.</t>
        </is>
      </c>
    </row>
    <row r="25">
      <c r="A25" s="5" t="inlineStr">
        <is>
          <t>1421910</t>
        </is>
      </c>
      <c r="B25" s="5" t="inlineStr">
        <is>
          <t>اصدار تراخيص اشغال الارصفة العامة و الطرق</t>
        </is>
      </c>
      <c r="C25" s="5" t="inlineStr">
        <is>
          <t>الرسوم والتراخيص</t>
        </is>
      </c>
      <c r="D25" s="6">
        <f>'توقع المحصل 2026'!E24</f>
        <v/>
      </c>
      <c r="E25" s="6">
        <f>'توقع المحصل 2026'!F24</f>
        <v/>
      </c>
      <c r="F25" s="6">
        <f>'توقع المحصل 2026'!G24</f>
        <v/>
      </c>
      <c r="G25" s="6">
        <f>'توقع المحصل 2026'!H24</f>
        <v/>
      </c>
      <c r="H25" s="15">
        <f>IF(F25=0,"",G25/F25)</f>
        <v/>
      </c>
      <c r="I25" s="6">
        <f>J25-G25</f>
        <v/>
      </c>
      <c r="J25" s="6">
        <f>'توقع المحصل 2026'!K24</f>
        <v/>
      </c>
      <c r="K25" s="6">
        <f>IF(J25=0,0,MAX(G25,MIN(J25,F25)))</f>
        <v/>
      </c>
      <c r="L25" s="6">
        <f>K25-J25</f>
        <v/>
      </c>
      <c r="M25" s="7">
        <f>J25/J$43</f>
        <v/>
      </c>
      <c r="N25" s="5" t="inlineStr">
        <is>
          <t>مرتفع</t>
        </is>
      </c>
      <c r="O25" s="16" t="inlineStr">
        <is>
          <t>المحصل حتى سبتمبر (3.6م) بلغ 103% من كل 2025 (3.5م). إضافة الربع الأخير بنفس الوتيرة ترفع التوقع 37% فوق 2025، وإن كان التحصيل يتركز في بداية السنة فالتوقع مبالغ فيه.</t>
        </is>
      </c>
    </row>
    <row r="26">
      <c r="A26" s="5" t="inlineStr">
        <is>
          <t>1439</t>
        </is>
      </c>
      <c r="B26" s="5" t="inlineStr">
        <is>
          <t>ايرادات  مبيعات  ناتجه من النشاط غير مصنفة</t>
        </is>
      </c>
      <c r="C26" s="5" t="inlineStr">
        <is>
          <t>جزاءات وغرامات</t>
        </is>
      </c>
      <c r="D26" s="6">
        <f>'توقع المحصل 2026'!E25</f>
        <v/>
      </c>
      <c r="E26" s="6">
        <f>'توقع المحصل 2026'!F25</f>
        <v/>
      </c>
      <c r="F26" s="6">
        <f>'توقع المحصل 2026'!G25</f>
        <v/>
      </c>
      <c r="G26" s="6">
        <f>'توقع المحصل 2026'!H25</f>
        <v/>
      </c>
      <c r="H26" s="15">
        <f>IF(F26=0,"",G26/F26)</f>
        <v/>
      </c>
      <c r="I26" s="6">
        <f>J26-G26</f>
        <v/>
      </c>
      <c r="J26" s="6">
        <f>'توقع المحصل 2026'!K25</f>
        <v/>
      </c>
      <c r="K26" s="6">
        <f>IF(J26=0,0,MAX(G26,MIN(J26,F26)))</f>
        <v/>
      </c>
      <c r="L26" s="6">
        <f>K26-J26</f>
        <v/>
      </c>
      <c r="M26" s="7">
        <f>J26/J$43</f>
        <v/>
      </c>
      <c r="N26" s="5" t="inlineStr">
        <is>
          <t>مرتفع</t>
        </is>
      </c>
      <c r="O26" s="16" t="inlineStr">
        <is>
          <t>تراجع حاد: المحصل حتى سبتمبر (0.2م) يعادل 2% فقط من 2025 (8.5م)؛ التوقع يستمر على هذا المستوى المنخفض.</t>
        </is>
      </c>
    </row>
    <row r="27">
      <c r="A27" s="5" t="inlineStr">
        <is>
          <t>1421901</t>
        </is>
      </c>
      <c r="B27" s="5" t="inlineStr">
        <is>
          <t>بيع الوثائق والأنظمة</t>
        </is>
      </c>
      <c r="C27" s="5" t="inlineStr">
        <is>
          <t>أخرى</t>
        </is>
      </c>
      <c r="D27" s="6">
        <f>'توقع المحصل 2026'!E26</f>
        <v/>
      </c>
      <c r="E27" s="6">
        <f>'توقع المحصل 2026'!F26</f>
        <v/>
      </c>
      <c r="F27" s="6">
        <f>'توقع المحصل 2026'!G26</f>
        <v/>
      </c>
      <c r="G27" s="6">
        <f>'توقع المحصل 2026'!H26</f>
        <v/>
      </c>
      <c r="H27" s="15">
        <f>IF(F27=0,"",G27/F27)</f>
        <v/>
      </c>
      <c r="I27" s="6">
        <f>J27-G27</f>
        <v/>
      </c>
      <c r="J27" s="6">
        <f>'توقع المحصل 2026'!K26</f>
        <v/>
      </c>
      <c r="K27" s="6">
        <f>IF(J27=0,0,MAX(G27,MIN(J27,F27)))</f>
        <v/>
      </c>
      <c r="L27" s="6">
        <f>K27-J27</f>
        <v/>
      </c>
      <c r="M27" s="7">
        <f>J27/J$43</f>
        <v/>
      </c>
      <c r="N27" s="5" t="inlineStr">
        <is>
          <t>منخفض</t>
        </is>
      </c>
      <c r="O27" s="16" t="inlineStr">
        <is>
          <t>مستقر: التوقع (2.2م) قريب من محصل 2025 (2.5م).</t>
        </is>
      </c>
    </row>
    <row r="28">
      <c r="A28" s="5" t="inlineStr">
        <is>
          <t>1421903</t>
        </is>
      </c>
      <c r="B28" s="5" t="inlineStr">
        <is>
          <t>مبيعات التيار الكهربائي</t>
        </is>
      </c>
      <c r="C28" s="5" t="inlineStr">
        <is>
          <t>إيرادات إستثمارية</t>
        </is>
      </c>
      <c r="D28" s="6">
        <f>'توقع المحصل 2026'!E27</f>
        <v/>
      </c>
      <c r="E28" s="6">
        <f>'توقع المحصل 2026'!F27</f>
        <v/>
      </c>
      <c r="F28" s="6">
        <f>'توقع المحصل 2026'!G27</f>
        <v/>
      </c>
      <c r="G28" s="6">
        <f>'توقع المحصل 2026'!H27</f>
        <v/>
      </c>
      <c r="H28" s="15">
        <f>IF(F28=0,"",G28/F28)</f>
        <v/>
      </c>
      <c r="I28" s="6">
        <f>J28-G28</f>
        <v/>
      </c>
      <c r="J28" s="6">
        <f>'توقع المحصل 2026'!K27</f>
        <v/>
      </c>
      <c r="K28" s="6">
        <f>IF(J28=0,0,MAX(G28,MIN(J28,F28)))</f>
        <v/>
      </c>
      <c r="L28" s="6">
        <f>K28-J28</f>
        <v/>
      </c>
      <c r="M28" s="7">
        <f>J28/J$43</f>
        <v/>
      </c>
      <c r="N28" s="5" t="inlineStr">
        <is>
          <t>مرتفع</t>
        </is>
      </c>
      <c r="O28" s="16" t="inlineStr">
        <is>
          <t>تراجع حاد: المحصل حتى سبتمبر (0.3م) يعادل 19% فقط من 2025 (1.5م)؛ التوقع يستمر على هذا المستوى المنخفض.</t>
        </is>
      </c>
    </row>
    <row r="29">
      <c r="A29" s="5" t="inlineStr">
        <is>
          <t>1438</t>
        </is>
      </c>
      <c r="B29" s="5" t="inlineStr">
        <is>
          <t>جزاءات وغرامات مفروضة بموجب أنظمة الجهة</t>
        </is>
      </c>
      <c r="C29" s="5" t="inlineStr">
        <is>
          <t>جزاءات وغرامات</t>
        </is>
      </c>
      <c r="D29" s="6">
        <f>'توقع المحصل 2026'!E28</f>
        <v/>
      </c>
      <c r="E29" s="6">
        <f>'توقع المحصل 2026'!F28</f>
        <v/>
      </c>
      <c r="F29" s="6">
        <f>'توقع المحصل 2026'!G28</f>
        <v/>
      </c>
      <c r="G29" s="6">
        <f>'توقع المحصل 2026'!H28</f>
        <v/>
      </c>
      <c r="H29" s="15">
        <f>IF(F29=0,"",G29/F29)</f>
        <v/>
      </c>
      <c r="I29" s="6">
        <f>J29-G29</f>
        <v/>
      </c>
      <c r="J29" s="6">
        <f>'توقع المحصل 2026'!K28</f>
        <v/>
      </c>
      <c r="K29" s="6">
        <f>IF(J29=0,0,MAX(G29,MIN(J29,F29)))</f>
        <v/>
      </c>
      <c r="L29" s="6">
        <f>K29-J29</f>
        <v/>
      </c>
      <c r="M29" s="7">
        <f>J29/J$43</f>
        <v/>
      </c>
      <c r="N29" s="5" t="inlineStr">
        <is>
          <t>مرتفع</t>
        </is>
      </c>
      <c r="O29" s="16" t="inlineStr">
        <is>
          <t>تراجع حاد: المحصل حتى سبتمبر (0.1م) يعادل 17% فقط من 2025 (0.4م)؛ التوقع يستمر على هذا المستوى المنخفض.</t>
        </is>
      </c>
    </row>
    <row r="30">
      <c r="A30" s="5" t="inlineStr">
        <is>
          <t>1421912</t>
        </is>
      </c>
      <c r="B30" s="5" t="inlineStr">
        <is>
          <t>تأجير العقارات لأغراض مؤقته</t>
        </is>
      </c>
      <c r="C30" s="5" t="inlineStr">
        <is>
          <t>إيرادات إستثمارية</t>
        </is>
      </c>
      <c r="D30" s="6">
        <f>'توقع المحصل 2026'!E29</f>
        <v/>
      </c>
      <c r="E30" s="6">
        <f>'توقع المحصل 2026'!F29</f>
        <v/>
      </c>
      <c r="F30" s="6">
        <f>'توقع المحصل 2026'!G29</f>
        <v/>
      </c>
      <c r="G30" s="6">
        <f>'توقع المحصل 2026'!H29</f>
        <v/>
      </c>
      <c r="H30" s="15">
        <f>IF(F30=0,"",G30/F30)</f>
        <v/>
      </c>
      <c r="I30" s="6">
        <f>J30-G30</f>
        <v/>
      </c>
      <c r="J30" s="6">
        <f>'توقع المحصل 2026'!K29</f>
        <v/>
      </c>
      <c r="K30" s="6">
        <f>IF(J30=0,0,MAX(G30,MIN(J30,F30)))</f>
        <v/>
      </c>
      <c r="L30" s="6">
        <f>K30-J30</f>
        <v/>
      </c>
      <c r="M30" s="7">
        <f>J30/J$43</f>
        <v/>
      </c>
      <c r="N30" s="5" t="inlineStr">
        <is>
          <t>منخفض</t>
        </is>
      </c>
      <c r="O30" s="16" t="inlineStr">
        <is>
          <t>التوقع أدنى من 2025 بنسبة 26% لأن وتيرة التحصيل حتى سبتمبر أقل.</t>
        </is>
      </c>
    </row>
    <row r="31">
      <c r="A31" s="5" t="inlineStr">
        <is>
          <t>11452106</t>
        </is>
      </c>
      <c r="B31" s="5" t="inlineStr">
        <is>
          <t>اصدار التراخيص بتأسيس أو تشغيل ابراج الاتصالات</t>
        </is>
      </c>
      <c r="C31" s="5" t="inlineStr">
        <is>
          <t>الرسوم والتراخيص</t>
        </is>
      </c>
      <c r="D31" s="6">
        <f>'توقع المحصل 2026'!E30</f>
        <v/>
      </c>
      <c r="E31" s="6">
        <f>'توقع المحصل 2026'!F30</f>
        <v/>
      </c>
      <c r="F31" s="6">
        <f>'توقع المحصل 2026'!G30</f>
        <v/>
      </c>
      <c r="G31" s="6">
        <f>'توقع المحصل 2026'!H30</f>
        <v/>
      </c>
      <c r="H31" s="15">
        <f>IF(F31=0,"",G31/F31)</f>
        <v/>
      </c>
      <c r="I31" s="6">
        <f>J31-G31</f>
        <v/>
      </c>
      <c r="J31" s="6">
        <f>'توقع المحصل 2026'!K30</f>
        <v/>
      </c>
      <c r="K31" s="6">
        <f>IF(J31=0,0,MAX(G31,MIN(J31,F31)))</f>
        <v/>
      </c>
      <c r="L31" s="6">
        <f>K31-J31</f>
        <v/>
      </c>
      <c r="M31" s="7">
        <f>J31/J$43</f>
        <v/>
      </c>
      <c r="N31" s="5" t="inlineStr">
        <is>
          <t>مرتفع</t>
        </is>
      </c>
      <c r="O31" s="16" t="inlineStr">
        <is>
          <t>تراجع حاد: المحصل حتى سبتمبر (0.3م) يعادل 27% فقط من 2025 (1.3م)؛ التوقع يستمر على هذا المستوى المنخفض.</t>
        </is>
      </c>
    </row>
    <row r="32">
      <c r="A32" s="5" t="inlineStr">
        <is>
          <t>11452110</t>
        </is>
      </c>
      <c r="B32" s="5" t="inlineStr">
        <is>
          <t>إصدار تراخيص إستخدام أملاك خاصة لإقامة فعاليات</t>
        </is>
      </c>
      <c r="C32" s="5" t="inlineStr">
        <is>
          <t>الرسوم والتراخيص</t>
        </is>
      </c>
      <c r="D32" s="6">
        <f>'توقع المحصل 2026'!E31</f>
        <v/>
      </c>
      <c r="E32" s="6">
        <f>'توقع المحصل 2026'!F31</f>
        <v/>
      </c>
      <c r="F32" s="6">
        <f>'توقع المحصل 2026'!G31</f>
        <v/>
      </c>
      <c r="G32" s="6">
        <f>'توقع المحصل 2026'!H31</f>
        <v/>
      </c>
      <c r="H32" s="15">
        <f>IF(F32=0,"",G32/F32)</f>
        <v/>
      </c>
      <c r="I32" s="6">
        <f>J32-G32</f>
        <v/>
      </c>
      <c r="J32" s="6">
        <f>'توقع المحصل 2026'!K31</f>
        <v/>
      </c>
      <c r="K32" s="6">
        <f>IF(J32=0,0,MAX(G32,MIN(J32,F32)))</f>
        <v/>
      </c>
      <c r="L32" s="6">
        <f>K32-J32</f>
        <v/>
      </c>
      <c r="M32" s="7">
        <f>J32/J$43</f>
        <v/>
      </c>
      <c r="N32" s="5" t="inlineStr">
        <is>
          <t>منخفض</t>
        </is>
      </c>
      <c r="O32" s="16" t="inlineStr">
        <is>
          <t>مستقر: التوقع (0.8م) قريب من محصل 2025 (0.8م).</t>
        </is>
      </c>
    </row>
    <row r="33">
      <c r="A33" s="5" t="inlineStr">
        <is>
          <t>141229</t>
        </is>
      </c>
      <c r="B33" s="5" t="inlineStr">
        <is>
          <t>أرباح أخرى</t>
        </is>
      </c>
      <c r="C33" s="5" t="inlineStr">
        <is>
          <t>إيرادات إستثمارية</t>
        </is>
      </c>
      <c r="D33" s="6">
        <f>'توقع المحصل 2026'!E32</f>
        <v/>
      </c>
      <c r="E33" s="6">
        <f>'توقع المحصل 2026'!F32</f>
        <v/>
      </c>
      <c r="F33" s="6">
        <f>'توقع المحصل 2026'!G32</f>
        <v/>
      </c>
      <c r="G33" s="6">
        <f>'توقع المحصل 2026'!H32</f>
        <v/>
      </c>
      <c r="H33" s="15">
        <f>IF(F33=0,"",G33/F33)</f>
        <v/>
      </c>
      <c r="I33" s="6">
        <f>J33-G33</f>
        <v/>
      </c>
      <c r="J33" s="6">
        <f>'توقع المحصل 2026'!K32</f>
        <v/>
      </c>
      <c r="K33" s="6">
        <f>IF(J33=0,0,MAX(G33,MIN(J33,F33)))</f>
        <v/>
      </c>
      <c r="L33" s="6">
        <f>K33-J33</f>
        <v/>
      </c>
      <c r="M33" s="7">
        <f>J33/J$43</f>
        <v/>
      </c>
      <c r="N33" s="5" t="inlineStr">
        <is>
          <t>مرتفع</t>
        </is>
      </c>
      <c r="O33" s="16" t="inlineStr">
        <is>
          <t>قفزة: المحصل حتى سبتمبر (0.1م) يعادل 200% من كل 2025 (0.0م)، والتوقع يفترض أن القفزة تستمر في الربع الأخير. احتمال المبالغة مرتفع.</t>
        </is>
      </c>
    </row>
    <row r="34">
      <c r="A34" s="5" t="inlineStr">
        <is>
          <t>11452109</t>
        </is>
      </c>
      <c r="B34" s="5" t="inlineStr">
        <is>
          <t>اعتماد مخططات التطوير العقاري</t>
        </is>
      </c>
      <c r="C34" s="5" t="inlineStr">
        <is>
          <t>الرسوم والتراخيص</t>
        </is>
      </c>
      <c r="D34" s="6">
        <f>'توقع المحصل 2026'!E33</f>
        <v/>
      </c>
      <c r="E34" s="6">
        <f>'توقع المحصل 2026'!F33</f>
        <v/>
      </c>
      <c r="F34" s="6">
        <f>'توقع المحصل 2026'!G33</f>
        <v/>
      </c>
      <c r="G34" s="6">
        <f>'توقع المحصل 2026'!H33</f>
        <v/>
      </c>
      <c r="H34" s="15">
        <f>IF(F34=0,"",G34/F34)</f>
        <v/>
      </c>
      <c r="I34" s="6">
        <f>J34-G34</f>
        <v/>
      </c>
      <c r="J34" s="6">
        <f>'توقع المحصل 2026'!K33</f>
        <v/>
      </c>
      <c r="K34" s="6">
        <f>IF(J34=0,0,MAX(G34,MIN(J34,F34)))</f>
        <v/>
      </c>
      <c r="L34" s="6">
        <f>K34-J34</f>
        <v/>
      </c>
      <c r="M34" s="7">
        <f>J34/J$43</f>
        <v/>
      </c>
      <c r="N34" s="5" t="inlineStr">
        <is>
          <t>مرتفع</t>
        </is>
      </c>
      <c r="O34" s="16" t="inlineStr">
        <is>
          <t>تراجع حاد: المحصل حتى سبتمبر (0.0م) يعادل 0% فقط من 2025 (0.6م)؛ التوقع يستمر على هذا المستوى المنخفض.</t>
        </is>
      </c>
    </row>
    <row r="35">
      <c r="A35" s="5" t="inlineStr">
        <is>
          <t>11452107</t>
        </is>
      </c>
      <c r="B35" s="5" t="inlineStr">
        <is>
          <t>اصدار التراخيص بتأسيس أو تشغيل الصراف الآلي</t>
        </is>
      </c>
      <c r="C35" s="5" t="inlineStr">
        <is>
          <t>الرسوم والتراخيص</t>
        </is>
      </c>
      <c r="D35" s="6">
        <f>'توقع المحصل 2026'!E34</f>
        <v/>
      </c>
      <c r="E35" s="6">
        <f>'توقع المحصل 2026'!F34</f>
        <v/>
      </c>
      <c r="F35" s="6">
        <f>'توقع المحصل 2026'!G34</f>
        <v/>
      </c>
      <c r="G35" s="6">
        <f>'توقع المحصل 2026'!H34</f>
        <v/>
      </c>
      <c r="H35" s="15">
        <f>IF(F35=0,"",G35/F35)</f>
        <v/>
      </c>
      <c r="I35" s="6">
        <f>J35-G35</f>
        <v/>
      </c>
      <c r="J35" s="6">
        <f>'توقع المحصل 2026'!K34</f>
        <v/>
      </c>
      <c r="K35" s="6">
        <f>IF(J35=0,0,MAX(G35,MIN(J35,F35)))</f>
        <v/>
      </c>
      <c r="L35" s="6">
        <f>K35-J35</f>
        <v/>
      </c>
      <c r="M35" s="7">
        <f>J35/J$43</f>
        <v/>
      </c>
      <c r="N35" s="5" t="inlineStr">
        <is>
          <t>منخفض</t>
        </is>
      </c>
      <c r="O35" s="16" t="inlineStr">
        <is>
          <t>مستقر: التوقع (0.2م) قريب من محصل 2025 (0.2م).</t>
        </is>
      </c>
    </row>
    <row r="36">
      <c r="A36" s="5" t="inlineStr">
        <is>
          <t>3318212</t>
        </is>
      </c>
      <c r="B36" s="5" t="inlineStr">
        <is>
          <t>مرتجع رواتب - فواتير</t>
        </is>
      </c>
      <c r="C36" s="5" t="inlineStr">
        <is>
          <t>أخرى</t>
        </is>
      </c>
      <c r="D36" s="6">
        <f>'توقع المحصل 2026'!E35</f>
        <v/>
      </c>
      <c r="E36" s="6">
        <f>'توقع المحصل 2026'!F35</f>
        <v/>
      </c>
      <c r="F36" s="6">
        <f>'توقع المحصل 2026'!G35</f>
        <v/>
      </c>
      <c r="G36" s="6">
        <f>'توقع المحصل 2026'!H35</f>
        <v/>
      </c>
      <c r="H36" s="15">
        <f>IF(F36=0,"",G36/F36)</f>
        <v/>
      </c>
      <c r="I36" s="6">
        <f>J36-G36</f>
        <v/>
      </c>
      <c r="J36" s="6">
        <f>'توقع المحصل 2026'!K35</f>
        <v/>
      </c>
      <c r="K36" s="6">
        <f>IF(J36=0,0,MAX(G36,MIN(J36,F36)))</f>
        <v/>
      </c>
      <c r="L36" s="6">
        <f>K36-J36</f>
        <v/>
      </c>
      <c r="M36" s="7">
        <f>J36/J$43</f>
        <v/>
      </c>
      <c r="N36" s="5" t="inlineStr">
        <is>
          <t>مرتفع</t>
        </is>
      </c>
      <c r="O36" s="16" t="inlineStr">
        <is>
          <t>قفزة: المحصل حتى سبتمبر (0.2م) يعادل 142% من كل 2025 (0.2م)، والتوقع يفترض أن القفزة تستمر في الربع الأخير. احتمال المبالغة مرتفع.</t>
        </is>
      </c>
    </row>
    <row r="37">
      <c r="A37" s="5" t="inlineStr">
        <is>
          <t>11422</t>
        </is>
      </c>
      <c r="B37" s="5" t="inlineStr">
        <is>
          <t>رسوم منتجات التبغ</t>
        </is>
      </c>
      <c r="C37" s="5" t="inlineStr">
        <is>
          <t>التبغ والإيواء</t>
        </is>
      </c>
      <c r="D37" s="6">
        <f>'توقع المحصل 2026'!E36</f>
        <v/>
      </c>
      <c r="E37" s="6">
        <f>'توقع المحصل 2026'!F36</f>
        <v/>
      </c>
      <c r="F37" s="6">
        <f>'توقع المحصل 2026'!G36</f>
        <v/>
      </c>
      <c r="G37" s="6">
        <f>'توقع المحصل 2026'!H36</f>
        <v/>
      </c>
      <c r="H37" s="15">
        <f>IF(F37=0,"",G37/F37)</f>
        <v/>
      </c>
      <c r="I37" s="6">
        <f>J37-G37</f>
        <v/>
      </c>
      <c r="J37" s="6">
        <f>'توقع المحصل 2026'!K36</f>
        <v/>
      </c>
      <c r="K37" s="6">
        <f>IF(J37=0,0,MAX(G37,MIN(J37,F37)))</f>
        <v/>
      </c>
      <c r="L37" s="6">
        <f>K37-J37</f>
        <v/>
      </c>
      <c r="M37" s="7">
        <f>J37/J$43</f>
        <v/>
      </c>
      <c r="N37" s="5" t="inlineStr">
        <is>
          <t>منخفض</t>
        </is>
      </c>
      <c r="O37" s="16" t="inlineStr">
        <is>
          <t>متوقف: لا فوترة ولا تحصيل في 2026، فتوقعه صفر.</t>
        </is>
      </c>
    </row>
    <row r="38">
      <c r="A38" s="5" t="inlineStr">
        <is>
          <t>1422103</t>
        </is>
      </c>
      <c r="B38" s="5" t="inlineStr">
        <is>
          <t>تراخيص المحلات</t>
        </is>
      </c>
      <c r="C38" s="5" t="inlineStr">
        <is>
          <t>إيرادات إستثمارية</t>
        </is>
      </c>
      <c r="D38" s="6">
        <f>'توقع المحصل 2026'!E37</f>
        <v/>
      </c>
      <c r="E38" s="6">
        <f>'توقع المحصل 2026'!F37</f>
        <v/>
      </c>
      <c r="F38" s="6">
        <f>'توقع المحصل 2026'!G37</f>
        <v/>
      </c>
      <c r="G38" s="6">
        <f>'توقع المحصل 2026'!H37</f>
        <v/>
      </c>
      <c r="H38" s="15">
        <f>IF(F38=0,"",G38/F38)</f>
        <v/>
      </c>
      <c r="I38" s="6">
        <f>J38-G38</f>
        <v/>
      </c>
      <c r="J38" s="6">
        <f>'توقع المحصل 2026'!K37</f>
        <v/>
      </c>
      <c r="K38" s="6">
        <f>IF(J38=0,0,MAX(G38,MIN(J38,F38)))</f>
        <v/>
      </c>
      <c r="L38" s="6">
        <f>K38-J38</f>
        <v/>
      </c>
      <c r="M38" s="7">
        <f>J38/J$43</f>
        <v/>
      </c>
      <c r="N38" s="5" t="inlineStr">
        <is>
          <t>مرتفع</t>
        </is>
      </c>
      <c r="O38" s="16" t="inlineStr">
        <is>
          <t>تراجع حاد: المحصل حتى سبتمبر (0.0م) يعادل 27% فقط من 2025 (0.0م)؛ التوقع يستمر على هذا المستوى المنخفض.</t>
        </is>
      </c>
    </row>
    <row r="39">
      <c r="A39" s="5" t="inlineStr">
        <is>
          <t>11452513</t>
        </is>
      </c>
      <c r="B39" s="5" t="inlineStr">
        <is>
          <t>لوحات إرشـادية</t>
        </is>
      </c>
      <c r="C39" s="5" t="inlineStr">
        <is>
          <t>الرسوم والتراخيص</t>
        </is>
      </c>
      <c r="D39" s="6">
        <f>'توقع المحصل 2026'!E38</f>
        <v/>
      </c>
      <c r="E39" s="6">
        <f>'توقع المحصل 2026'!F38</f>
        <v/>
      </c>
      <c r="F39" s="6">
        <f>'توقع المحصل 2026'!G38</f>
        <v/>
      </c>
      <c r="G39" s="6">
        <f>'توقع المحصل 2026'!H38</f>
        <v/>
      </c>
      <c r="H39" s="15">
        <f>IF(F39=0,"",G39/F39)</f>
        <v/>
      </c>
      <c r="I39" s="6">
        <f>J39-G39</f>
        <v/>
      </c>
      <c r="J39" s="6">
        <f>'توقع المحصل 2026'!K38</f>
        <v/>
      </c>
      <c r="K39" s="6">
        <f>IF(J39=0,0,MAX(G39,MIN(J39,F39)))</f>
        <v/>
      </c>
      <c r="L39" s="6">
        <f>K39-J39</f>
        <v/>
      </c>
      <c r="M39" s="7">
        <f>J39/J$43</f>
        <v/>
      </c>
      <c r="N39" s="5" t="inlineStr">
        <is>
          <t>مرتفع</t>
        </is>
      </c>
      <c r="O39" s="16" t="inlineStr">
        <is>
          <t>تراجع حاد: المحصل حتى سبتمبر (0.0م) يعادل 7% فقط من 2025 (0.0م)؛ التوقع يستمر على هذا المستوى المنخفض.</t>
        </is>
      </c>
    </row>
    <row r="40">
      <c r="A40" s="5" t="inlineStr">
        <is>
          <t>1421907</t>
        </is>
      </c>
      <c r="B40" s="5" t="inlineStr">
        <is>
          <t>إيرادات المخططات</t>
        </is>
      </c>
      <c r="C40" s="5" t="inlineStr">
        <is>
          <t>الرسوم والتراخيص</t>
        </is>
      </c>
      <c r="D40" s="6">
        <f>'توقع المحصل 2026'!E39</f>
        <v/>
      </c>
      <c r="E40" s="6">
        <f>'توقع المحصل 2026'!F39</f>
        <v/>
      </c>
      <c r="F40" s="6">
        <f>'توقع المحصل 2026'!G39</f>
        <v/>
      </c>
      <c r="G40" s="6">
        <f>'توقع المحصل 2026'!H39</f>
        <v/>
      </c>
      <c r="H40" s="15">
        <f>IF(F40=0,"",G40/F40)</f>
        <v/>
      </c>
      <c r="I40" s="6">
        <f>J40-G40</f>
        <v/>
      </c>
      <c r="J40" s="6">
        <f>'توقع المحصل 2026'!K39</f>
        <v/>
      </c>
      <c r="K40" s="6">
        <f>IF(J40=0,0,MAX(G40,MIN(J40,F40)))</f>
        <v/>
      </c>
      <c r="L40" s="6">
        <f>K40-J40</f>
        <v/>
      </c>
      <c r="M40" s="7">
        <f>J40/J$43</f>
        <v/>
      </c>
      <c r="N40" s="5" t="inlineStr">
        <is>
          <t>مرتفع</t>
        </is>
      </c>
      <c r="O40" s="16" t="inlineStr">
        <is>
          <t>تراجع حاد: المحصل حتى سبتمبر (0.0م) يعادل 27% فقط من 2025 (0.0م)؛ التوقع يستمر على هذا المستوى المنخفض.</t>
        </is>
      </c>
    </row>
    <row r="41">
      <c r="A41" s="5" t="inlineStr">
        <is>
          <t>1421908</t>
        </is>
      </c>
      <c r="B41" s="5" t="inlineStr">
        <is>
          <t>ايرادات  رسوم خدمات  بلدية</t>
        </is>
      </c>
      <c r="C41" s="5" t="inlineStr">
        <is>
          <t>إيرادات إستثمارية</t>
        </is>
      </c>
      <c r="D41" s="6">
        <f>'توقع المحصل 2026'!E40</f>
        <v/>
      </c>
      <c r="E41" s="6">
        <f>'توقع المحصل 2026'!F40</f>
        <v/>
      </c>
      <c r="F41" s="6">
        <f>'توقع المحصل 2026'!G40</f>
        <v/>
      </c>
      <c r="G41" s="6">
        <f>'توقع المحصل 2026'!H40</f>
        <v/>
      </c>
      <c r="H41" s="15">
        <f>IF(F41=0,"",G41/F41)</f>
        <v/>
      </c>
      <c r="I41" s="6">
        <f>J41-G41</f>
        <v/>
      </c>
      <c r="J41" s="6">
        <f>'توقع المحصل 2026'!K40</f>
        <v/>
      </c>
      <c r="K41" s="6">
        <f>IF(J41=0,0,MAX(G41,MIN(J41,F41)))</f>
        <v/>
      </c>
      <c r="L41" s="6">
        <f>K41-J41</f>
        <v/>
      </c>
      <c r="M41" s="7">
        <f>J41/J$43</f>
        <v/>
      </c>
      <c r="N41" s="5" t="inlineStr">
        <is>
          <t>منخفض</t>
        </is>
      </c>
      <c r="O41" s="16" t="inlineStr">
        <is>
          <t>متوقف: لا فوترة ولا تحصيل في 2026، فتوقعه صفر.</t>
        </is>
      </c>
    </row>
    <row r="42">
      <c r="A42" s="5" t="inlineStr">
        <is>
          <t>142161</t>
        </is>
      </c>
      <c r="B42" s="5" t="inlineStr">
        <is>
          <t>تاجير مباني سكنية</t>
        </is>
      </c>
      <c r="C42" s="5" t="inlineStr">
        <is>
          <t>إيرادات إستثمارية</t>
        </is>
      </c>
      <c r="D42" s="6">
        <f>'توقع المحصل 2026'!E41</f>
        <v/>
      </c>
      <c r="E42" s="6">
        <f>'توقع المحصل 2026'!F41</f>
        <v/>
      </c>
      <c r="F42" s="6">
        <f>'توقع المحصل 2026'!G41</f>
        <v/>
      </c>
      <c r="G42" s="6">
        <f>'توقع المحصل 2026'!H41</f>
        <v/>
      </c>
      <c r="H42" s="15">
        <f>IF(F42=0,"",G42/F42)</f>
        <v/>
      </c>
      <c r="I42" s="6">
        <f>J42-G42</f>
        <v/>
      </c>
      <c r="J42" s="6">
        <f>'توقع المحصل 2026'!K41</f>
        <v/>
      </c>
      <c r="K42" s="6">
        <f>IF(J42=0,0,MAX(G42,MIN(J42,F42)))</f>
        <v/>
      </c>
      <c r="L42" s="6">
        <f>K42-J42</f>
        <v/>
      </c>
      <c r="M42" s="7">
        <f>J42/J$43</f>
        <v/>
      </c>
      <c r="N42" s="5" t="inlineStr">
        <is>
          <t>منخفض</t>
        </is>
      </c>
      <c r="O42" s="16" t="inlineStr">
        <is>
          <t>متوقف: لا فوترة ولا تحصيل في 2026، فتوقعه صفر.</t>
        </is>
      </c>
    </row>
    <row r="43">
      <c r="A43" s="8" t="n"/>
      <c r="B43" s="8" t="inlineStr">
        <is>
          <t>الإجمالي</t>
        </is>
      </c>
      <c r="C43" s="8" t="n"/>
      <c r="D43" s="9">
        <f>SUM(D5:D42)</f>
        <v/>
      </c>
      <c r="E43" s="9">
        <f>SUM(E5:E42)</f>
        <v/>
      </c>
      <c r="F43" s="9">
        <f>SUM(F5:F42)</f>
        <v/>
      </c>
      <c r="G43" s="9">
        <f>SUM(G5:G42)</f>
        <v/>
      </c>
      <c r="H43" s="17">
        <f>G43/F43</f>
        <v/>
      </c>
      <c r="I43" s="9">
        <f>SUM(I5:I42)</f>
        <v/>
      </c>
      <c r="J43" s="9">
        <f>SUM(J5:J42)</f>
        <v/>
      </c>
      <c r="K43" s="9">
        <f>SUM(K5:K42)</f>
        <v/>
      </c>
      <c r="L43" s="9">
        <f>SUM(L5:L42)</f>
        <v/>
      </c>
      <c r="M43" s="10">
        <f>SUM(M5:M42)</f>
        <v/>
      </c>
      <c r="N43" s="8" t="n"/>
      <c r="O43" s="18" t="n"/>
    </row>
  </sheetData>
  <autoFilter ref="A4:O42"/>
  <mergeCells count="1">
    <mergeCell ref="A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9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20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20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2" t="inlineStr">
        <is>
          <t>منهجية الحساب:</t>
        </is>
      </c>
    </row>
    <row r="10">
      <c r="A10" s="21" t="inlineStr">
        <is>
          <t>1) الإجمالي المفوتر للحساب = المفوتر + المحصل عن سنوات سابقة (حسب طلبك).</t>
        </is>
      </c>
    </row>
    <row r="11">
      <c r="A11" s="21" t="inlineStr">
        <is>
          <t>2) توقع 2026 = الفعلي حتى سبتمبر × 12/9 (لا توجد بيانات شهرية، فلا موسمية في التوقع).</t>
        </is>
      </c>
    </row>
    <row r="12">
      <c r="A12" s="21" t="inlineStr">
        <is>
          <t>3) الحسابات التي فوترتها وتحصيلها صفر في 2026 تُعتبر متوقفة وتوقعها صفر في 2026 و2027.</t>
        </is>
      </c>
    </row>
    <row r="13">
      <c r="A13" s="21" t="inlineStr">
        <is>
          <t>4) 2027 – السيناريو الأول: توقع 2026 × (1 + نسبة النمو في خلية C2 بورقة التوقعات؛ الافتراضي 7%).</t>
        </is>
      </c>
    </row>
    <row r="14">
      <c r="A14" s="21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21" t="inlineStr">
        <is>
          <t>6) تم استبعاد حساب قيمة الضريبة المضافة (11411) من كل الحسابات والإجماليات.</t>
        </is>
      </c>
    </row>
    <row r="16">
      <c r="A16" s="21" t="inlineStr">
        <is>
          <t>6b) تم دمج صفّي "بدون رقم" (خدمات علم + جزاءات، وجزاءات جزء ضئيل) في صف واحد لكل سنة.</t>
        </is>
      </c>
    </row>
    <row r="17">
      <c r="A17" s="21" t="inlineStr">
        <is>
          <t>6c) أعمدة النمو لكل حساب: نمو كل سنة عن السنة السابقة (2024 عن 2023، 2025 عن 2024، 2026 توقع عن 2025، و2027 عن 2026 للسيناريوهين). تظهر فارغة عندما تكون السنة السابقة صفراً.</t>
        </is>
      </c>
    </row>
    <row r="18">
      <c r="A18" s="21" t="inlineStr">
        <is>
          <t>6d) ورقة "توقع المحصل 2026": توقع إقفال 2026 كمحصّل فعلي = المحصل حتى سبتمبر × 12÷9 (مسدد عن السنة + محصل سنوات سابقة).</t>
        </is>
      </c>
    </row>
    <row r="19">
      <c r="A19" s="21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2026-10-19T15:18:23Z</dcterms:created>
  <dcterms:modified xmlns:dcterms="http://purl.org/dc/terms/" xmlns:xsi="http://www.w3.org/2001/XMLSchema-instance" xsi:type="dcterms:W3CDTF">2026-10-19T15:18:23Z</dcterms:modified>
</cp:coreProperties>
</file>