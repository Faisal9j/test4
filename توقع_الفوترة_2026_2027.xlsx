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توقعات" sheetId="1" state="visible" r:id="rId1"/>
    <sheet xmlns:r="http://schemas.openxmlformats.org/officeDocument/2006/relationships" name="حسب التبويب" sheetId="2" state="visible" r:id="rId2"/>
    <sheet xmlns:r="http://schemas.openxmlformats.org/officeDocument/2006/relationships" name="تفصيل المكونات" sheetId="3" state="visible" r:id="rId3"/>
    <sheet xmlns:r="http://schemas.openxmlformats.org/officeDocument/2006/relationships" name="الافتراضات" sheetId="4" state="visible" r:id="rId4"/>
  </sheets>
  <definedNames>
    <definedName name="_xlnm._FilterDatabase" localSheetId="0" hidden="1">'التوقعات'!$A$3:$N$41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</font>
    <font>
      <name val="Arial"/>
      <b val="1"/>
    </font>
    <font>
      <name val="Arial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5" fontId="3" fillId="3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0" borderId="1" pivotButton="0" quotePrefix="0" xfId="0"/>
    <xf numFmtId="165" fontId="5" fillId="0" borderId="1" pivotButton="0" quotePrefix="0" xfId="0"/>
    <xf numFmtId="0" fontId="6" fillId="4" borderId="1" pivotButton="0" quotePrefix="0" xfId="0"/>
    <xf numFmtId="166" fontId="6" fillId="4" borderId="1" pivotButton="0" quotePrefix="0" xfId="0"/>
    <xf numFmtId="165" fontId="6" fillId="4" borderId="1" pivotButton="0" quotePrefix="0" xfId="0"/>
    <xf numFmtId="164" fontId="0" fillId="3" borderId="0" pivotButton="0" quotePrefix="0" xfId="0"/>
    <xf numFmtId="165" fontId="0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9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8" customWidth="1" min="12" max="12"/>
    <col width="12" customWidth="1" min="13" max="13"/>
    <col width="30" customWidth="1" min="14" max="14"/>
  </cols>
  <sheetData>
    <row r="1">
      <c r="A1" s="1" t="inlineStr">
        <is>
          <t>توقع الفوترة لكل حساب: 2026 ونهاية السنة و2027 (المفوتر + المحصل عن سنوات سابقة)</t>
        </is>
      </c>
    </row>
    <row r="2">
      <c r="B2" s="2" t="inlineStr">
        <is>
          <t>نسبة النمو لسيناريو 2027 (عدّلها هنا):</t>
        </is>
      </c>
      <c r="C2" s="3" t="n">
        <v>0.07000000000000001</v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التبويب</t>
        </is>
      </c>
      <c r="D3" s="4" t="inlineStr">
        <is>
          <t>الحالة</t>
        </is>
      </c>
      <c r="E3" s="4" t="inlineStr">
        <is>
          <t>2023 فعلي</t>
        </is>
      </c>
      <c r="F3" s="4" t="inlineStr">
        <is>
          <t>2024 فعلي</t>
        </is>
      </c>
      <c r="G3" s="4" t="inlineStr">
        <is>
          <t>2025 فعلي</t>
        </is>
      </c>
      <c r="H3" s="4" t="inlineStr">
        <is>
          <t>2026 فعلي (حتى سبتمبر)</t>
        </is>
      </c>
      <c r="I3" s="4" t="inlineStr">
        <is>
          <t>2026 توقع نهاية السنة</t>
        </is>
      </c>
      <c r="J3" s="4">
        <f>"2027 – سيناريو "&amp;TEXT($C$2,"0.0%")</f>
        <v/>
      </c>
      <c r="K3" s="4" t="inlineStr">
        <is>
          <t>معدل النمو التاريخي (بعد السقف)</t>
        </is>
      </c>
      <c r="L3" s="4" t="inlineStr">
        <is>
          <t>2027 – سيناريو النمو التاريخي</t>
        </is>
      </c>
      <c r="M3" s="4" t="inlineStr">
        <is>
          <t>نمو 2026 مقابل 2025</t>
        </is>
      </c>
      <c r="N3" s="4" t="inlineStr">
        <is>
          <t>تنبيه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5" t="inlineStr">
        <is>
          <t>جزاءات وغرامات</t>
        </is>
      </c>
      <c r="D4" s="5" t="inlineStr">
        <is>
          <t>نشط</t>
        </is>
      </c>
      <c r="E4" s="6" t="n">
        <v>804587448.9299999</v>
      </c>
      <c r="F4" s="6" t="n">
        <v>845141122.87</v>
      </c>
      <c r="G4" s="6" t="n">
        <v>995518575.16</v>
      </c>
      <c r="H4" s="6" t="n">
        <v>1065200061.32</v>
      </c>
      <c r="I4" s="6">
        <f>IF(D4="متوقف",0,H4*الافتراضات!$B$4)</f>
        <v/>
      </c>
      <c r="J4" s="6">
        <f>I4*(1+الافتراضات!$B$5)</f>
        <v/>
      </c>
      <c r="K4" s="7">
        <f>IF(D4="متوقف",0,MAX(-الافتراضات!$B$6,MIN(الافتراضات!$B$6,0.112341)))</f>
        <v/>
      </c>
      <c r="L4" s="6">
        <f>I4*(1+K4)</f>
        <v/>
      </c>
      <c r="M4" s="7">
        <f>IF(G4=0,"",I4/G4-1)</f>
        <v/>
      </c>
      <c r="N4" s="5" t="inlineStr"/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5" t="inlineStr">
        <is>
          <t>إيرادات إستثمارية</t>
        </is>
      </c>
      <c r="D5" s="5" t="inlineStr">
        <is>
          <t>نشط</t>
        </is>
      </c>
      <c r="E5" s="6" t="n">
        <v>936026050.89</v>
      </c>
      <c r="F5" s="6" t="n">
        <v>955699643.42</v>
      </c>
      <c r="G5" s="6" t="n">
        <v>827628200.76</v>
      </c>
      <c r="H5" s="6" t="n">
        <v>803599432.03</v>
      </c>
      <c r="I5" s="6">
        <f>IF(D5="متوقف",0,H5*الافتراضات!$B$4)</f>
        <v/>
      </c>
      <c r="J5" s="6">
        <f>I5*(1+الافتراضات!$B$5)</f>
        <v/>
      </c>
      <c r="K5" s="7">
        <f>IF(D5="متوقف",0,MAX(-الافتراضات!$B$6,MIN(الافتراضات!$B$6,-0.059684)))</f>
        <v/>
      </c>
      <c r="L5" s="6">
        <f>I5*(1+K5)</f>
        <v/>
      </c>
      <c r="M5" s="7">
        <f>IF(G5=0,"",I5/G5-1)</f>
        <v/>
      </c>
      <c r="N5" s="5" t="inlineStr"/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5" t="inlineStr">
        <is>
          <t>الرسوم والتراخيص</t>
        </is>
      </c>
      <c r="D6" s="5" t="inlineStr">
        <is>
          <t>نشط</t>
        </is>
      </c>
      <c r="E6" s="6" t="n">
        <v>175067949.66</v>
      </c>
      <c r="F6" s="6" t="n">
        <v>680268322.89</v>
      </c>
      <c r="G6" s="6" t="n">
        <v>1056157712.68</v>
      </c>
      <c r="H6" s="6" t="n">
        <v>126475270.21</v>
      </c>
      <c r="I6" s="6">
        <f>IF(D6="متوقف",0,H6*الافتراضات!$B$4)</f>
        <v/>
      </c>
      <c r="J6" s="6">
        <f>I6*(1+الافتراضات!$B$5)</f>
        <v/>
      </c>
      <c r="K6" s="7">
        <f>IF(D6="متوقف",0,MAX(-الافتراضات!$B$6,MIN(الافتراضات!$B$6,1.456185)))</f>
        <v/>
      </c>
      <c r="L6" s="6">
        <f>I6*(1+K6)</f>
        <v/>
      </c>
      <c r="M6" s="7">
        <f>IF(G6=0,"",I6/G6-1)</f>
        <v/>
      </c>
      <c r="N6" s="5" t="inlineStr">
        <is>
          <t>تذبذب عالٍ – راجع التوقع</t>
        </is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5" t="inlineStr">
        <is>
          <t>الرسوم والتراخيص</t>
        </is>
      </c>
      <c r="D7" s="5" t="inlineStr">
        <is>
          <t>نشط</t>
        </is>
      </c>
      <c r="E7" s="6" t="n">
        <v>281304013.86</v>
      </c>
      <c r="F7" s="6" t="n">
        <v>309024665.19</v>
      </c>
      <c r="G7" s="6" t="n">
        <v>287055889.18</v>
      </c>
      <c r="H7" s="6" t="n">
        <v>266305026.42</v>
      </c>
      <c r="I7" s="6">
        <f>IF(D7="متوقف",0,H7*الافتراضات!$B$4)</f>
        <v/>
      </c>
      <c r="J7" s="6">
        <f>I7*(1+الافتراضات!$B$5)</f>
        <v/>
      </c>
      <c r="K7" s="7">
        <f>IF(D7="متوقف",0,MAX(-الافتراضات!$B$6,MIN(الافتراضات!$B$6,0.010172)))</f>
        <v/>
      </c>
      <c r="L7" s="6">
        <f>I7*(1+K7)</f>
        <v/>
      </c>
      <c r="M7" s="7">
        <f>IF(G7=0,"",I7/G7-1)</f>
        <v/>
      </c>
      <c r="N7" s="5" t="inlineStr"/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5" t="inlineStr">
        <is>
          <t>الرسوم والتراخيص</t>
        </is>
      </c>
      <c r="D8" s="5" t="inlineStr">
        <is>
          <t>نشط</t>
        </is>
      </c>
      <c r="E8" s="6" t="n">
        <v>228673081.75</v>
      </c>
      <c r="F8" s="6" t="n">
        <v>257318897.94</v>
      </c>
      <c r="G8" s="6" t="n">
        <v>321860357.23</v>
      </c>
      <c r="H8" s="6" t="n">
        <v>206131241.55</v>
      </c>
      <c r="I8" s="6">
        <f>IF(D8="متوقف",0,H8*الافتراضات!$B$4)</f>
        <v/>
      </c>
      <c r="J8" s="6">
        <f>I8*(1+الافتراضات!$B$5)</f>
        <v/>
      </c>
      <c r="K8" s="7">
        <f>IF(D8="متوقف",0,MAX(-الافتراضات!$B$6,MIN(الافتراضات!$B$6,0.186387)))</f>
        <v/>
      </c>
      <c r="L8" s="6">
        <f>I8*(1+K8)</f>
        <v/>
      </c>
      <c r="M8" s="7">
        <f>IF(G8=0,"",I8/G8-1)</f>
        <v/>
      </c>
      <c r="N8" s="5" t="inlineStr"/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5" t="inlineStr">
        <is>
          <t>الرسوم والتراخيص</t>
        </is>
      </c>
      <c r="D9" s="5" t="inlineStr">
        <is>
          <t>نشط</t>
        </is>
      </c>
      <c r="E9" s="6" t="n">
        <v>239067590</v>
      </c>
      <c r="F9" s="6" t="n">
        <v>249350690</v>
      </c>
      <c r="G9" s="6" t="n">
        <v>210632056.99</v>
      </c>
      <c r="H9" s="6" t="n">
        <v>187729029.22</v>
      </c>
      <c r="I9" s="6">
        <f>IF(D9="متوقف",0,H9*الافتراضات!$B$4)</f>
        <v/>
      </c>
      <c r="J9" s="6">
        <f>I9*(1+الافتراضات!$B$5)</f>
        <v/>
      </c>
      <c r="K9" s="7">
        <f>IF(D9="متوقف",0,MAX(-الافتراضات!$B$6,MIN(الافتراضات!$B$6,-0.061354)))</f>
        <v/>
      </c>
      <c r="L9" s="6">
        <f>I9*(1+K9)</f>
        <v/>
      </c>
      <c r="M9" s="7">
        <f>IF(G9=0,"",I9/G9-1)</f>
        <v/>
      </c>
      <c r="N9" s="5" t="inlineStr"/>
    </row>
    <row r="10">
      <c r="A10" s="5" t="inlineStr">
        <is>
          <t>11442</t>
        </is>
      </c>
      <c r="B10" s="5" t="inlineStr">
        <is>
          <t>اشغال مرافق الايواء</t>
        </is>
      </c>
      <c r="C10" s="5" t="inlineStr">
        <is>
          <t>التبغ والإيواء</t>
        </is>
      </c>
      <c r="D10" s="5" t="inlineStr">
        <is>
          <t>نشط</t>
        </is>
      </c>
      <c r="E10" s="6" t="n">
        <v>231729928.67</v>
      </c>
      <c r="F10" s="6" t="n">
        <v>276571524.98</v>
      </c>
      <c r="G10" s="6" t="n">
        <v>221032165.06</v>
      </c>
      <c r="H10" s="6" t="n">
        <v>156682947.06</v>
      </c>
      <c r="I10" s="6">
        <f>IF(D10="متوقف",0,H10*الافتراضات!$B$4)</f>
        <v/>
      </c>
      <c r="J10" s="6">
        <f>I10*(1+الافتراضات!$B$5)</f>
        <v/>
      </c>
      <c r="K10" s="7">
        <f>IF(D10="متوقف",0,MAX(-الافتراضات!$B$6,MIN(الافتراضات!$B$6,-0.023355)))</f>
        <v/>
      </c>
      <c r="L10" s="6">
        <f>I10*(1+K10)</f>
        <v/>
      </c>
      <c r="M10" s="7">
        <f>IF(G10=0,"",I10/G10-1)</f>
        <v/>
      </c>
      <c r="N10" s="5" t="inlineStr"/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5" t="inlineStr">
        <is>
          <t>إيرادات إستثمارية</t>
        </is>
      </c>
      <c r="D11" s="5" t="inlineStr">
        <is>
          <t>نشط</t>
        </is>
      </c>
      <c r="E11" s="6" t="n">
        <v>33614410.92</v>
      </c>
      <c r="F11" s="6" t="n">
        <v>53697027.64</v>
      </c>
      <c r="G11" s="6" t="n">
        <v>35072726.35</v>
      </c>
      <c r="H11" s="6" t="n">
        <v>430765503.41</v>
      </c>
      <c r="I11" s="6">
        <f>IF(D11="متوقف",0,H11*الافتراضات!$B$4)</f>
        <v/>
      </c>
      <c r="J11" s="6">
        <f>I11*(1+الافتراضات!$B$5)</f>
        <v/>
      </c>
      <c r="K11" s="7">
        <f>IF(D11="متوقف",0,MAX(-الافتراضات!$B$6,MIN(الافتراضات!$B$6,0.021462)))</f>
        <v/>
      </c>
      <c r="L11" s="6">
        <f>I11*(1+K11)</f>
        <v/>
      </c>
      <c r="M11" s="7">
        <f>IF(G11=0,"",I11/G11-1)</f>
        <v/>
      </c>
      <c r="N11" s="5" t="inlineStr">
        <is>
          <t>تذبذب عالٍ – راجع التوقع</t>
        </is>
      </c>
    </row>
    <row r="12">
      <c r="A12" s="5" t="inlineStr">
        <is>
          <t>1421999</t>
        </is>
      </c>
      <c r="B12" s="5" t="inlineStr">
        <is>
          <t>مبيعات أخرى</t>
        </is>
      </c>
      <c r="C12" s="5" t="inlineStr">
        <is>
          <t>أخرى</t>
        </is>
      </c>
      <c r="D12" s="5" t="inlineStr">
        <is>
          <t>نشط</t>
        </is>
      </c>
      <c r="E12" s="6" t="n">
        <v>152401119.12</v>
      </c>
      <c r="F12" s="6" t="n">
        <v>166749759.29</v>
      </c>
      <c r="G12" s="6" t="n">
        <v>73660918.12</v>
      </c>
      <c r="H12" s="6" t="n">
        <v>147700656.12</v>
      </c>
      <c r="I12" s="6">
        <f>IF(D12="متوقف",0,H12*الافتراضات!$B$4)</f>
        <v/>
      </c>
      <c r="J12" s="6">
        <f>I12*(1+الافتراضات!$B$5)</f>
        <v/>
      </c>
      <c r="K12" s="7">
        <f>IF(D12="متوقف",0,MAX(-الافتراضات!$B$6,MIN(الافتراضات!$B$6,-0.304776)))</f>
        <v/>
      </c>
      <c r="L12" s="6">
        <f>I12*(1+K12)</f>
        <v/>
      </c>
      <c r="M12" s="7">
        <f>IF(G12=0,"",I12/G12-1)</f>
        <v/>
      </c>
      <c r="N12" s="5" t="inlineStr">
        <is>
          <t>تذبذب عالٍ – راجع التوقع</t>
        </is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5" t="inlineStr">
        <is>
          <t>أخرى</t>
        </is>
      </c>
      <c r="D13" s="5" t="inlineStr">
        <is>
          <t>نشط</t>
        </is>
      </c>
      <c r="E13" s="6" t="n">
        <v>9941900.57</v>
      </c>
      <c r="F13" s="6" t="n">
        <v>14133817.21</v>
      </c>
      <c r="G13" s="6" t="n">
        <v>80747739.2</v>
      </c>
      <c r="H13" s="6" t="n">
        <v>316496963.26</v>
      </c>
      <c r="I13" s="6">
        <f>IF(D13="متوقف",0,H13*الافتراضات!$B$4)</f>
        <v/>
      </c>
      <c r="J13" s="6">
        <f>I13*(1+الافتراضات!$B$5)</f>
        <v/>
      </c>
      <c r="K13" s="7">
        <f>IF(D13="متوقف",0,MAX(-الافتراضات!$B$6,MIN(الافتراضات!$B$6,1.849906)))</f>
        <v/>
      </c>
      <c r="L13" s="6">
        <f>I13*(1+K13)</f>
        <v/>
      </c>
      <c r="M13" s="7">
        <f>IF(G13=0,"",I13/G13-1)</f>
        <v/>
      </c>
      <c r="N13" s="5" t="inlineStr">
        <is>
          <t>تذبذب عالٍ – راجع التوقع</t>
        </is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5" t="inlineStr">
        <is>
          <t>التبغ والإيواء</t>
        </is>
      </c>
      <c r="D14" s="5" t="inlineStr">
        <is>
          <t>نشط</t>
        </is>
      </c>
      <c r="E14" s="6" t="n">
        <v>75066033.04000001</v>
      </c>
      <c r="F14" s="6" t="n">
        <v>142202773.54</v>
      </c>
      <c r="G14" s="6" t="n">
        <v>105455179.58</v>
      </c>
      <c r="H14" s="6" t="n">
        <v>80723092.94</v>
      </c>
      <c r="I14" s="6">
        <f>IF(D14="متوقف",0,H14*الافتراضات!$B$4)</f>
        <v/>
      </c>
      <c r="J14" s="6">
        <f>I14*(1+الافتراضات!$B$5)</f>
        <v/>
      </c>
      <c r="K14" s="7">
        <f>IF(D14="متوقف",0,MAX(-الافتراضات!$B$6,MIN(الافتراضات!$B$6,0.185256)))</f>
        <v/>
      </c>
      <c r="L14" s="6">
        <f>I14*(1+K14)</f>
        <v/>
      </c>
      <c r="M14" s="7">
        <f>IF(G14=0,"",I14/G14-1)</f>
        <v/>
      </c>
      <c r="N14" s="5" t="inlineStr"/>
    </row>
    <row r="15">
      <c r="A15" s="5" t="inlineStr">
        <is>
          <t>1421909</t>
        </is>
      </c>
      <c r="B15" s="5" t="inlineStr">
        <is>
          <t>جمع النفايات</t>
        </is>
      </c>
      <c r="C15" s="5" t="inlineStr">
        <is>
          <t>الرسوم والتراخيص</t>
        </is>
      </c>
      <c r="D15" s="5" t="inlineStr">
        <is>
          <t>نشط</t>
        </is>
      </c>
      <c r="E15" s="6" t="n">
        <v>83027851.53</v>
      </c>
      <c r="F15" s="6" t="n">
        <v>89269940.62</v>
      </c>
      <c r="G15" s="6" t="n">
        <v>80988493.83</v>
      </c>
      <c r="H15" s="6" t="n">
        <v>79213506.2</v>
      </c>
      <c r="I15" s="6">
        <f>IF(D15="متوقف",0,H15*الافتراضات!$B$4)</f>
        <v/>
      </c>
      <c r="J15" s="6">
        <f>I15*(1+الافتراضات!$B$5)</f>
        <v/>
      </c>
      <c r="K15" s="7">
        <f>IF(D15="متوقف",0,MAX(-الافتراضات!$B$6,MIN(الافتراضات!$B$6,-0.012358)))</f>
        <v/>
      </c>
      <c r="L15" s="6">
        <f>I15*(1+K15)</f>
        <v/>
      </c>
      <c r="M15" s="7">
        <f>IF(G15=0,"",I15/G15-1)</f>
        <v/>
      </c>
      <c r="N15" s="5" t="inlineStr"/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5" t="inlineStr">
        <is>
          <t>الرسوم والتراخيص</t>
        </is>
      </c>
      <c r="D16" s="5" t="inlineStr">
        <is>
          <t>نشط</t>
        </is>
      </c>
      <c r="E16" s="6" t="n">
        <v>66884899.97</v>
      </c>
      <c r="F16" s="6" t="n">
        <v>65467285.9</v>
      </c>
      <c r="G16" s="6" t="n">
        <v>634736.47</v>
      </c>
      <c r="H16" s="6" t="n">
        <v>1350</v>
      </c>
      <c r="I16" s="6">
        <f>IF(D16="متوقف",0,H16*الافتراضات!$B$4)</f>
        <v/>
      </c>
      <c r="J16" s="6">
        <f>I16*(1+الافتراضات!$B$5)</f>
        <v/>
      </c>
      <c r="K16" s="7">
        <f>IF(D16="متوقف",0,MAX(-الافتراضات!$B$6,MIN(الافتراضات!$B$6,-0.902583)))</f>
        <v/>
      </c>
      <c r="L16" s="6">
        <f>I16*(1+K16)</f>
        <v/>
      </c>
      <c r="M16" s="7">
        <f>IF(G16=0,"",I16/G16-1)</f>
        <v/>
      </c>
      <c r="N16" s="5" t="inlineStr"/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5" t="inlineStr">
        <is>
          <t>الرسوم والتراخيص</t>
        </is>
      </c>
      <c r="D17" s="5" t="inlineStr">
        <is>
          <t>نشط</t>
        </is>
      </c>
      <c r="E17" s="6" t="n">
        <v>4422269.64</v>
      </c>
      <c r="F17" s="6" t="n">
        <v>19704385.4</v>
      </c>
      <c r="G17" s="6" t="n">
        <v>26909388.87</v>
      </c>
      <c r="H17" s="6" t="n">
        <v>34133807.25</v>
      </c>
      <c r="I17" s="6">
        <f>IF(D17="متوقف",0,H17*الافتراضات!$B$4)</f>
        <v/>
      </c>
      <c r="J17" s="6">
        <f>I17*(1+الافتراضات!$B$5)</f>
        <v/>
      </c>
      <c r="K17" s="7">
        <f>IF(D17="متوقف",0,MAX(-الافتراضات!$B$6,MIN(الافتراضات!$B$6,1.466774)))</f>
        <v/>
      </c>
      <c r="L17" s="6">
        <f>I17*(1+K17)</f>
        <v/>
      </c>
      <c r="M17" s="7">
        <f>IF(G17=0,"",I17/G17-1)</f>
        <v/>
      </c>
      <c r="N17" s="5" t="inlineStr"/>
    </row>
    <row r="18">
      <c r="A18" s="5" t="inlineStr">
        <is>
          <t>1422108</t>
        </is>
      </c>
      <c r="B18" s="5" t="inlineStr">
        <is>
          <t>الشهادات الصحية</t>
        </is>
      </c>
      <c r="C18" s="5" t="inlineStr">
        <is>
          <t>الرسوم والتراخيص</t>
        </is>
      </c>
      <c r="D18" s="5" t="inlineStr">
        <is>
          <t>نشط</t>
        </is>
      </c>
      <c r="E18" s="6" t="n">
        <v>21268656.03</v>
      </c>
      <c r="F18" s="6" t="n">
        <v>13869671.08</v>
      </c>
      <c r="G18" s="6" t="n">
        <v>26299399.74</v>
      </c>
      <c r="H18" s="6" t="n">
        <v>21634358.52</v>
      </c>
      <c r="I18" s="6">
        <f>IF(D18="متوقف",0,H18*الافتراضات!$B$4)</f>
        <v/>
      </c>
      <c r="J18" s="6">
        <f>I18*(1+الافتراضات!$B$5)</f>
        <v/>
      </c>
      <c r="K18" s="7">
        <f>IF(D18="متوقف",0,MAX(-الافتراضات!$B$6,MIN(الافتراضات!$B$6,0.111995)))</f>
        <v/>
      </c>
      <c r="L18" s="6">
        <f>I18*(1+K18)</f>
        <v/>
      </c>
      <c r="M18" s="7">
        <f>IF(G18=0,"",I18/G18-1)</f>
        <v/>
      </c>
      <c r="N18" s="5" t="inlineStr"/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5" t="inlineStr">
        <is>
          <t>التبغ والإيواء</t>
        </is>
      </c>
      <c r="D19" s="5" t="inlineStr">
        <is>
          <t>نشط</t>
        </is>
      </c>
      <c r="E19" s="6" t="n">
        <v>16987800</v>
      </c>
      <c r="F19" s="6" t="n">
        <v>18210000</v>
      </c>
      <c r="G19" s="6" t="n">
        <v>16212478.8</v>
      </c>
      <c r="H19" s="6" t="n">
        <v>14308008.01</v>
      </c>
      <c r="I19" s="6">
        <f>IF(D19="متوقف",0,H19*الافتراضات!$B$4)</f>
        <v/>
      </c>
      <c r="J19" s="6">
        <f>I19*(1+الافتراضات!$B$5)</f>
        <v/>
      </c>
      <c r="K19" s="7">
        <f>IF(D19="متوقف",0,MAX(-الافتراضات!$B$6,MIN(الافتراضات!$B$6,-0.023086)))</f>
        <v/>
      </c>
      <c r="L19" s="6">
        <f>I19*(1+K19)</f>
        <v/>
      </c>
      <c r="M19" s="7">
        <f>IF(G19=0,"",I19/G19-1)</f>
        <v/>
      </c>
      <c r="N19" s="5" t="inlineStr"/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5" t="inlineStr">
        <is>
          <t>علم / جزاءات</t>
        </is>
      </c>
      <c r="D20" s="5" t="inlineStr">
        <is>
          <t>نشط</t>
        </is>
      </c>
      <c r="E20" s="6" t="n">
        <v>4860068.75</v>
      </c>
      <c r="F20" s="6" t="n">
        <v>14420133.75</v>
      </c>
      <c r="G20" s="6" t="n">
        <v>22037760</v>
      </c>
      <c r="H20" s="6" t="n">
        <v>21837837.5</v>
      </c>
      <c r="I20" s="6">
        <f>IF(D20="متوقف",0,H20*الافتراضات!$B$4)</f>
        <v/>
      </c>
      <c r="J20" s="6">
        <f>I20*(1+الافتراضات!$B$5)</f>
        <v/>
      </c>
      <c r="K20" s="7">
        <f>IF(D20="متوقف",0,MAX(-الافتراضات!$B$6,MIN(الافتراضات!$B$6,1.129426)))</f>
        <v/>
      </c>
      <c r="L20" s="6">
        <f>I20*(1+K20)</f>
        <v/>
      </c>
      <c r="M20" s="7">
        <f>IF(G20=0,"",I20/G20-1)</f>
        <v/>
      </c>
      <c r="N20" s="5" t="inlineStr"/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5" t="inlineStr">
        <is>
          <t>إيرادات إستثمارية</t>
        </is>
      </c>
      <c r="D21" s="5" t="inlineStr">
        <is>
          <t>نشط</t>
        </is>
      </c>
      <c r="E21" s="6" t="n">
        <v>9048255.93</v>
      </c>
      <c r="F21" s="6" t="n">
        <v>7544256.25</v>
      </c>
      <c r="G21" s="6" t="n">
        <v>4918746.75</v>
      </c>
      <c r="H21" s="6" t="n">
        <v>12310614.76</v>
      </c>
      <c r="I21" s="6">
        <f>IF(D21="متوقف",0,H21*الافتراضات!$B$4)</f>
        <v/>
      </c>
      <c r="J21" s="6">
        <f>I21*(1+الافتراضات!$B$5)</f>
        <v/>
      </c>
      <c r="K21" s="7">
        <f>IF(D21="متوقف",0,MAX(-الافتراضات!$B$6,MIN(الافتراضات!$B$6,-0.262699)))</f>
        <v/>
      </c>
      <c r="L21" s="6">
        <f>I21*(1+K21)</f>
        <v/>
      </c>
      <c r="M21" s="7">
        <f>IF(G21=0,"",I21/G21-1)</f>
        <v/>
      </c>
      <c r="N21" s="5" t="inlineStr">
        <is>
          <t>تذبذب عالٍ – راجع التوقع</t>
        </is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5" t="inlineStr">
        <is>
          <t>الرسوم والتراخيص</t>
        </is>
      </c>
      <c r="D22" s="5" t="inlineStr">
        <is>
          <t>نشط</t>
        </is>
      </c>
      <c r="E22" s="6" t="n">
        <v>9597160.08</v>
      </c>
      <c r="F22" s="6" t="n">
        <v>9593369.65</v>
      </c>
      <c r="G22" s="6" t="n">
        <v>7704211.79</v>
      </c>
      <c r="H22" s="6" t="n">
        <v>6331998.45</v>
      </c>
      <c r="I22" s="6">
        <f>IF(D22="متوقف",0,H22*الافتراضات!$B$4)</f>
        <v/>
      </c>
      <c r="J22" s="6">
        <f>I22*(1+الافتراضات!$B$5)</f>
        <v/>
      </c>
      <c r="K22" s="7">
        <f>IF(D22="متوقف",0,MAX(-الافتراضات!$B$6,MIN(الافتراضات!$B$6,-0.104032)))</f>
        <v/>
      </c>
      <c r="L22" s="6">
        <f>I22*(1+K22)</f>
        <v/>
      </c>
      <c r="M22" s="7">
        <f>IF(G22=0,"",I22/G22-1)</f>
        <v/>
      </c>
      <c r="N22" s="5" t="inlineStr"/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5" t="inlineStr">
        <is>
          <t>الرسوم والتراخيص</t>
        </is>
      </c>
      <c r="D23" s="5" t="inlineStr">
        <is>
          <t>نشط</t>
        </is>
      </c>
      <c r="E23" s="6" t="n">
        <v>6077736.7</v>
      </c>
      <c r="F23" s="6" t="n">
        <v>5228065.19</v>
      </c>
      <c r="G23" s="6" t="n">
        <v>6051210.16</v>
      </c>
      <c r="H23" s="6" t="n">
        <v>12106223.42</v>
      </c>
      <c r="I23" s="6">
        <f>IF(D23="متوقف",0,H23*الافتراضات!$B$4)</f>
        <v/>
      </c>
      <c r="J23" s="6">
        <f>I23*(1+الافتراضات!$B$5)</f>
        <v/>
      </c>
      <c r="K23" s="7">
        <f>IF(D23="متوقف",0,MAX(-الافتراضات!$B$6,MIN(الافتراضات!$B$6,-0.002185)))</f>
        <v/>
      </c>
      <c r="L23" s="6">
        <f>I23*(1+K23)</f>
        <v/>
      </c>
      <c r="M23" s="7">
        <f>IF(G23=0,"",I23/G23-1)</f>
        <v/>
      </c>
      <c r="N23" s="5" t="inlineStr">
        <is>
          <t>تذبذب عالٍ – راجع التوقع</t>
        </is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5" t="inlineStr">
        <is>
          <t>الرسوم والتراخيص</t>
        </is>
      </c>
      <c r="D24" s="5" t="inlineStr">
        <is>
          <t>نشط</t>
        </is>
      </c>
      <c r="E24" s="6" t="n">
        <v>3853581.36</v>
      </c>
      <c r="F24" s="6" t="n">
        <v>2946421.81</v>
      </c>
      <c r="G24" s="6" t="n">
        <v>3566627.43</v>
      </c>
      <c r="H24" s="6" t="n">
        <v>3660790.62</v>
      </c>
      <c r="I24" s="6">
        <f>IF(D24="متوقف",0,H24*الافتراضات!$B$4)</f>
        <v/>
      </c>
      <c r="J24" s="6">
        <f>I24*(1+الافتراضات!$B$5)</f>
        <v/>
      </c>
      <c r="K24" s="7">
        <f>IF(D24="متوقف",0,MAX(-الافتراضات!$B$6,MIN(الافتراضات!$B$6,-0.037952)))</f>
        <v/>
      </c>
      <c r="L24" s="6">
        <f>I24*(1+K24)</f>
        <v/>
      </c>
      <c r="M24" s="7">
        <f>IF(G24=0,"",I24/G24-1)</f>
        <v/>
      </c>
      <c r="N24" s="5" t="inlineStr"/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5" t="inlineStr">
        <is>
          <t>جزاءات وغرامات</t>
        </is>
      </c>
      <c r="D25" s="5" t="inlineStr">
        <is>
          <t>نشط</t>
        </is>
      </c>
      <c r="E25" s="6" t="n">
        <v>3537100</v>
      </c>
      <c r="F25" s="6" t="n">
        <v>256186</v>
      </c>
      <c r="G25" s="6" t="n">
        <v>8503508</v>
      </c>
      <c r="H25" s="6" t="n">
        <v>519000</v>
      </c>
      <c r="I25" s="6">
        <f>IF(D25="متوقف",0,H25*الافتراضات!$B$4)</f>
        <v/>
      </c>
      <c r="J25" s="6">
        <f>I25*(1+الافتراضات!$B$5)</f>
        <v/>
      </c>
      <c r="K25" s="7">
        <f>IF(D25="متوقف",0,MAX(-الافتراضات!$B$6,MIN(الافتراضات!$B$6,0.550513)))</f>
        <v/>
      </c>
      <c r="L25" s="6">
        <f>I25*(1+K25)</f>
        <v/>
      </c>
      <c r="M25" s="7">
        <f>IF(G25=0,"",I25/G25-1)</f>
        <v/>
      </c>
      <c r="N25" s="5" t="inlineStr">
        <is>
          <t>تذبذب عالٍ – راجع التوقع</t>
        </is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5" t="inlineStr">
        <is>
          <t>أخرى</t>
        </is>
      </c>
      <c r="D26" s="5" t="inlineStr">
        <is>
          <t>نشط</t>
        </is>
      </c>
      <c r="E26" s="6" t="n">
        <v>2945006</v>
      </c>
      <c r="F26" s="6" t="n">
        <v>2753795</v>
      </c>
      <c r="G26" s="6" t="n">
        <v>2520477</v>
      </c>
      <c r="H26" s="6" t="n">
        <v>1860236</v>
      </c>
      <c r="I26" s="6">
        <f>IF(D26="متوقف",0,H26*الافتراضات!$B$4)</f>
        <v/>
      </c>
      <c r="J26" s="6">
        <f>I26*(1+الافتراضات!$B$5)</f>
        <v/>
      </c>
      <c r="K26" s="7">
        <f>IF(D26="متوقف",0,MAX(-الافتراضات!$B$6,MIN(الافتراضات!$B$6,-0.074880)))</f>
        <v/>
      </c>
      <c r="L26" s="6">
        <f>I26*(1+K26)</f>
        <v/>
      </c>
      <c r="M26" s="7">
        <f>IF(G26=0,"",I26/G26-1)</f>
        <v/>
      </c>
      <c r="N26" s="5" t="inlineStr"/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5" t="inlineStr">
        <is>
          <t>إيرادات إستثمارية</t>
        </is>
      </c>
      <c r="D27" s="5" t="inlineStr">
        <is>
          <t>نشط</t>
        </is>
      </c>
      <c r="E27" s="6" t="n">
        <v>0</v>
      </c>
      <c r="F27" s="6" t="n">
        <v>0</v>
      </c>
      <c r="G27" s="6" t="n">
        <v>8083209.81</v>
      </c>
      <c r="H27" s="6" t="n">
        <v>302027.65</v>
      </c>
      <c r="I27" s="6">
        <f>IF(D27="متوقف",0,H27*الافتراضات!$B$4)</f>
        <v/>
      </c>
      <c r="J27" s="6">
        <f>I27*(1+الافتراضات!$B$5)</f>
        <v/>
      </c>
      <c r="K27" s="7">
        <f>IF(D27="متوقف",0,MAX(-الافتراضات!$B$6,MIN(الافتراضات!$B$6,0.000000)))</f>
        <v/>
      </c>
      <c r="L27" s="6">
        <f>I27*(1+K27)</f>
        <v/>
      </c>
      <c r="M27" s="7">
        <f>IF(G27=0,"",I27/G27-1)</f>
        <v/>
      </c>
      <c r="N27" s="5" t="inlineStr">
        <is>
          <t>تذبذب عالٍ – راجع التوقع</t>
        </is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5" t="inlineStr">
        <is>
          <t>جزاءات وغرامات</t>
        </is>
      </c>
      <c r="D28" s="5" t="inlineStr">
        <is>
          <t>نشط</t>
        </is>
      </c>
      <c r="E28" s="6" t="n">
        <v>6881203</v>
      </c>
      <c r="F28" s="6" t="n">
        <v>486100</v>
      </c>
      <c r="G28" s="6" t="n">
        <v>352900</v>
      </c>
      <c r="H28" s="6" t="n">
        <v>59500</v>
      </c>
      <c r="I28" s="6">
        <f>IF(D28="متوقف",0,H28*الافتراضات!$B$4)</f>
        <v/>
      </c>
      <c r="J28" s="6">
        <f>I28*(1+الافتراضات!$B$5)</f>
        <v/>
      </c>
      <c r="K28" s="7">
        <f>IF(D28="متوقف",0,MAX(-الافتراضات!$B$6,MIN(الافتراضات!$B$6,-0.773539)))</f>
        <v/>
      </c>
      <c r="L28" s="6">
        <f>I28*(1+K28)</f>
        <v/>
      </c>
      <c r="M28" s="7">
        <f>IF(G28=0,"",I28/G28-1)</f>
        <v/>
      </c>
      <c r="N28" s="5" t="inlineStr"/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5" t="inlineStr">
        <is>
          <t>إيرادات إستثمارية</t>
        </is>
      </c>
      <c r="D29" s="5" t="inlineStr">
        <is>
          <t>نشط</t>
        </is>
      </c>
      <c r="E29" s="6" t="n">
        <v>838420.1899999999</v>
      </c>
      <c r="F29" s="6" t="n">
        <v>2053263.42</v>
      </c>
      <c r="G29" s="6" t="n">
        <v>2460303.51</v>
      </c>
      <c r="H29" s="6" t="n">
        <v>1447854.96</v>
      </c>
      <c r="I29" s="6">
        <f>IF(D29="متوقف",0,H29*الافتراضات!$B$4)</f>
        <v/>
      </c>
      <c r="J29" s="6">
        <f>I29*(1+الافتراضات!$B$5)</f>
        <v/>
      </c>
      <c r="K29" s="7">
        <f>IF(D29="متوقف",0,MAX(-الافتراضات!$B$6,MIN(الافتراضات!$B$6,0.713024)))</f>
        <v/>
      </c>
      <c r="L29" s="6">
        <f>I29*(1+K29)</f>
        <v/>
      </c>
      <c r="M29" s="7">
        <f>IF(G29=0,"",I29/G29-1)</f>
        <v/>
      </c>
      <c r="N29" s="5" t="inlineStr"/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5" t="inlineStr">
        <is>
          <t>الرسوم والتراخيص</t>
        </is>
      </c>
      <c r="D30" s="5" t="inlineStr">
        <is>
          <t>نشط</t>
        </is>
      </c>
      <c r="E30" s="6" t="n">
        <v>1007100</v>
      </c>
      <c r="F30" s="6" t="n">
        <v>1570100</v>
      </c>
      <c r="G30" s="6" t="n">
        <v>1590000</v>
      </c>
      <c r="H30" s="6" t="n">
        <v>476400</v>
      </c>
      <c r="I30" s="6">
        <f>IF(D30="متوقف",0,H30*الافتراضات!$B$4)</f>
        <v/>
      </c>
      <c r="J30" s="6">
        <f>I30*(1+الافتراضات!$B$5)</f>
        <v/>
      </c>
      <c r="K30" s="7">
        <f>IF(D30="متوقف",0,MAX(-الافتراضات!$B$6,MIN(الافتراضات!$B$6,0.256499)))</f>
        <v/>
      </c>
      <c r="L30" s="6">
        <f>I30*(1+K30)</f>
        <v/>
      </c>
      <c r="M30" s="7">
        <f>IF(G30=0,"",I30/G30-1)</f>
        <v/>
      </c>
      <c r="N30" s="5" t="inlineStr"/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5" t="inlineStr">
        <is>
          <t>الرسوم والتراخيص</t>
        </is>
      </c>
      <c r="D31" s="5" t="inlineStr">
        <is>
          <t>نشط</t>
        </is>
      </c>
      <c r="E31" s="6" t="n">
        <v>975004.05</v>
      </c>
      <c r="F31" s="6" t="n">
        <v>1038789.25</v>
      </c>
      <c r="G31" s="6" t="n">
        <v>1014443.22</v>
      </c>
      <c r="H31" s="6" t="n">
        <v>646845.12</v>
      </c>
      <c r="I31" s="6">
        <f>IF(D31="متوقف",0,H31*الافتراضات!$B$4)</f>
        <v/>
      </c>
      <c r="J31" s="6">
        <f>I31*(1+الافتراضات!$B$5)</f>
        <v/>
      </c>
      <c r="K31" s="7">
        <f>IF(D31="متوقف",0,MAX(-الافتراضات!$B$6,MIN(الافتراضات!$B$6,0.020025)))</f>
        <v/>
      </c>
      <c r="L31" s="6">
        <f>I31*(1+K31)</f>
        <v/>
      </c>
      <c r="M31" s="7">
        <f>IF(G31=0,"",I31/G31-1)</f>
        <v/>
      </c>
      <c r="N31" s="5" t="inlineStr"/>
    </row>
    <row r="32">
      <c r="A32" s="5" t="inlineStr">
        <is>
          <t>141229</t>
        </is>
      </c>
      <c r="B32" s="5" t="inlineStr">
        <is>
          <t>أرباح أخرى</t>
        </is>
      </c>
      <c r="C32" s="5" t="inlineStr">
        <is>
          <t>إيرادات إستثمارية</t>
        </is>
      </c>
      <c r="D32" s="5" t="inlineStr">
        <is>
          <t>نشط</t>
        </is>
      </c>
      <c r="E32" s="6" t="n">
        <v>1110572</v>
      </c>
      <c r="F32" s="6" t="n">
        <v>2220000</v>
      </c>
      <c r="G32" s="6" t="n">
        <v>30000</v>
      </c>
      <c r="H32" s="6" t="n">
        <v>60000</v>
      </c>
      <c r="I32" s="6">
        <f>IF(D32="متوقف",0,H32*الافتراضات!$B$4)</f>
        <v/>
      </c>
      <c r="J32" s="6">
        <f>I32*(1+الافتراضات!$B$5)</f>
        <v/>
      </c>
      <c r="K32" s="7">
        <f>IF(D32="متوقف",0,MAX(-الافتراضات!$B$6,MIN(الافتراضات!$B$6,-0.835643)))</f>
        <v/>
      </c>
      <c r="L32" s="6">
        <f>I32*(1+K32)</f>
        <v/>
      </c>
      <c r="M32" s="7">
        <f>IF(G32=0,"",I32/G32-1)</f>
        <v/>
      </c>
      <c r="N32" s="5" t="inlineStr"/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5" t="inlineStr">
        <is>
          <t>الرسوم والتراخيص</t>
        </is>
      </c>
      <c r="D33" s="5" t="inlineStr">
        <is>
          <t>نشط</t>
        </is>
      </c>
      <c r="E33" s="6" t="n">
        <v>1311574.5</v>
      </c>
      <c r="F33" s="6" t="n">
        <v>1330639.22</v>
      </c>
      <c r="G33" s="6" t="n">
        <v>592396.73</v>
      </c>
      <c r="H33" s="6" t="n">
        <v>100</v>
      </c>
      <c r="I33" s="6">
        <f>IF(D33="متوقف",0,H33*الافتراضات!$B$4)</f>
        <v/>
      </c>
      <c r="J33" s="6">
        <f>I33*(1+الافتراضات!$B$5)</f>
        <v/>
      </c>
      <c r="K33" s="7">
        <f>IF(D33="متوقف",0,MAX(-الافتراضات!$B$6,MIN(الافتراضات!$B$6,-0.327937)))</f>
        <v/>
      </c>
      <c r="L33" s="6">
        <f>I33*(1+K33)</f>
        <v/>
      </c>
      <c r="M33" s="7">
        <f>IF(G33=0,"",I33/G33-1)</f>
        <v/>
      </c>
      <c r="N33" s="5" t="inlineStr"/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5" t="inlineStr">
        <is>
          <t>الرسوم والتراخيص</t>
        </is>
      </c>
      <c r="D34" s="5" t="inlineStr">
        <is>
          <t>نشط</t>
        </is>
      </c>
      <c r="E34" s="6" t="n">
        <v>54000</v>
      </c>
      <c r="F34" s="6" t="n">
        <v>92000</v>
      </c>
      <c r="G34" s="6" t="n">
        <v>236273.52</v>
      </c>
      <c r="H34" s="6" t="n">
        <v>200184.61</v>
      </c>
      <c r="I34" s="6">
        <f>IF(D34="متوقف",0,H34*الافتراضات!$B$4)</f>
        <v/>
      </c>
      <c r="J34" s="6">
        <f>I34*(1+الافتراضات!$B$5)</f>
        <v/>
      </c>
      <c r="K34" s="7">
        <f>IF(D34="متوقف",0,MAX(-الافتراضات!$B$6,MIN(الافتراضات!$B$6,1.091754)))</f>
        <v/>
      </c>
      <c r="L34" s="6">
        <f>I34*(1+K34)</f>
        <v/>
      </c>
      <c r="M34" s="7">
        <f>IF(G34=0,"",I34/G34-1)</f>
        <v/>
      </c>
      <c r="N34" s="5" t="inlineStr"/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5" t="inlineStr">
        <is>
          <t>أخرى</t>
        </is>
      </c>
      <c r="D35" s="5" t="inlineStr">
        <is>
          <t>نشط</t>
        </is>
      </c>
      <c r="E35" s="6" t="n">
        <v>0</v>
      </c>
      <c r="F35" s="6" t="n">
        <v>0</v>
      </c>
      <c r="G35" s="6" t="n">
        <v>152767.79</v>
      </c>
      <c r="H35" s="6" t="n">
        <v>361665.23</v>
      </c>
      <c r="I35" s="6">
        <f>IF(D35="متوقف",0,H35*الافتراضات!$B$4)</f>
        <v/>
      </c>
      <c r="J35" s="6">
        <f>I35*(1+الافتراضات!$B$5)</f>
        <v/>
      </c>
      <c r="K35" s="7">
        <f>IF(D35="متوقف",0,MAX(-الافتراضات!$B$6,MIN(الافتراضات!$B$6,0.000000)))</f>
        <v/>
      </c>
      <c r="L35" s="6">
        <f>I35*(1+K35)</f>
        <v/>
      </c>
      <c r="M35" s="7">
        <f>IF(G35=0,"",I35/G35-1)</f>
        <v/>
      </c>
      <c r="N35" s="5" t="inlineStr"/>
    </row>
    <row r="36">
      <c r="A36" s="5" t="inlineStr">
        <is>
          <t>11422</t>
        </is>
      </c>
      <c r="B36" s="5" t="inlineStr">
        <is>
          <t>رسوم منتجات التبغ</t>
        </is>
      </c>
      <c r="C36" s="5" t="inlineStr">
        <is>
          <t>التبغ والإيواء</t>
        </is>
      </c>
      <c r="D36" s="5" t="inlineStr">
        <is>
          <t>متوقف</t>
        </is>
      </c>
      <c r="E36" s="6" t="n">
        <v>27000</v>
      </c>
      <c r="F36" s="6" t="n">
        <v>5167</v>
      </c>
      <c r="G36" s="6" t="n">
        <v>72000</v>
      </c>
      <c r="H36" s="6" t="n">
        <v>0</v>
      </c>
      <c r="I36" s="6">
        <f>IF(D36="متوقف",0,H36*الافتراضات!$B$4)</f>
        <v/>
      </c>
      <c r="J36" s="6">
        <f>I36*(1+الافتراضات!$B$5)</f>
        <v/>
      </c>
      <c r="K36" s="7">
        <f>IF(D36="متوقف",0,MAX(-الافتراضات!$B$6,MIN(الافتراضات!$B$6,0.632993)))</f>
        <v/>
      </c>
      <c r="L36" s="6">
        <f>I36*(1+K36)</f>
        <v/>
      </c>
      <c r="M36" s="7">
        <f>IF(G36=0,"",I36/G36-1)</f>
        <v/>
      </c>
      <c r="N36" s="5" t="inlineStr">
        <is>
          <t>متوقف في 2026 – توقعه صفر</t>
        </is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5" t="inlineStr">
        <is>
          <t>إيرادات إستثمارية</t>
        </is>
      </c>
      <c r="D37" s="5" t="inlineStr">
        <is>
          <t>نشط</t>
        </is>
      </c>
      <c r="E37" s="6" t="n">
        <v>67711.60000000001</v>
      </c>
      <c r="F37" s="6" t="n">
        <v>16269.6</v>
      </c>
      <c r="G37" s="6" t="n">
        <v>1603.2</v>
      </c>
      <c r="H37" s="6" t="n">
        <v>432</v>
      </c>
      <c r="I37" s="6">
        <f>IF(D37="متوقف",0,H37*الافتراضات!$B$4)</f>
        <v/>
      </c>
      <c r="J37" s="6">
        <f>I37*(1+الافتراضات!$B$5)</f>
        <v/>
      </c>
      <c r="K37" s="7">
        <f>IF(D37="متوقف",0,MAX(-الافتراضات!$B$6,MIN(الافتراضات!$B$6,-0.846127)))</f>
        <v/>
      </c>
      <c r="L37" s="6">
        <f>I37*(1+K37)</f>
        <v/>
      </c>
      <c r="M37" s="7">
        <f>IF(G37=0,"",I37/G37-1)</f>
        <v/>
      </c>
      <c r="N37" s="5" t="inlineStr"/>
    </row>
    <row r="38">
      <c r="A38" s="5" t="inlineStr">
        <is>
          <t>11452513</t>
        </is>
      </c>
      <c r="B38" s="5" t="inlineStr">
        <is>
          <t>لوحات إرشـادية</t>
        </is>
      </c>
      <c r="C38" s="5" t="inlineStr">
        <is>
          <t>الرسوم والتراخيص</t>
        </is>
      </c>
      <c r="D38" s="5" t="inlineStr">
        <is>
          <t>نشط</t>
        </is>
      </c>
      <c r="E38" s="6" t="n">
        <v>55525</v>
      </c>
      <c r="F38" s="6" t="n">
        <v>12875</v>
      </c>
      <c r="G38" s="6" t="n">
        <v>9000</v>
      </c>
      <c r="H38" s="6" t="n">
        <v>600</v>
      </c>
      <c r="I38" s="6">
        <f>IF(D38="متوقف",0,H38*الافتراضات!$B$4)</f>
        <v/>
      </c>
      <c r="J38" s="6">
        <f>I38*(1+الافتراضات!$B$5)</f>
        <v/>
      </c>
      <c r="K38" s="7">
        <f>IF(D38="متوقف",0,MAX(-الافتراضات!$B$6,MIN(الافتراضات!$B$6,-0.597397)))</f>
        <v/>
      </c>
      <c r="L38" s="6">
        <f>I38*(1+K38)</f>
        <v/>
      </c>
      <c r="M38" s="7">
        <f>IF(G38=0,"",I38/G38-1)</f>
        <v/>
      </c>
      <c r="N38" s="5" t="inlineStr"/>
    </row>
    <row r="39">
      <c r="A39" s="5" t="inlineStr">
        <is>
          <t>1421907</t>
        </is>
      </c>
      <c r="B39" s="5" t="inlineStr">
        <is>
          <t>إيرادات المخططات</t>
        </is>
      </c>
      <c r="C39" s="5" t="inlineStr">
        <is>
          <t>الرسوم والتراخيص</t>
        </is>
      </c>
      <c r="D39" s="5" t="inlineStr">
        <is>
          <t>نشط</t>
        </is>
      </c>
      <c r="E39" s="6" t="n">
        <v>0</v>
      </c>
      <c r="F39" s="6" t="n">
        <v>0</v>
      </c>
      <c r="G39" s="6" t="n">
        <v>21950</v>
      </c>
      <c r="H39" s="6" t="n">
        <v>6350</v>
      </c>
      <c r="I39" s="6">
        <f>IF(D39="متوقف",0,H39*الافتراضات!$B$4)</f>
        <v/>
      </c>
      <c r="J39" s="6">
        <f>I39*(1+الافتراضات!$B$5)</f>
        <v/>
      </c>
      <c r="K39" s="7">
        <f>IF(D39="متوقف",0,MAX(-الافتراضات!$B$6,MIN(الافتراضات!$B$6,0.000000)))</f>
        <v/>
      </c>
      <c r="L39" s="6">
        <f>I39*(1+K39)</f>
        <v/>
      </c>
      <c r="M39" s="7">
        <f>IF(G39=0,"",I39/G39-1)</f>
        <v/>
      </c>
      <c r="N39" s="5" t="inlineStr"/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5" t="inlineStr">
        <is>
          <t>إيرادات إستثمارية</t>
        </is>
      </c>
      <c r="D40" s="5" t="inlineStr">
        <is>
          <t>متوقف</t>
        </is>
      </c>
      <c r="E40" s="6" t="n">
        <v>16385</v>
      </c>
      <c r="F40" s="6" t="n">
        <v>0</v>
      </c>
      <c r="G40" s="6" t="n">
        <v>0</v>
      </c>
      <c r="H40" s="6" t="n">
        <v>0</v>
      </c>
      <c r="I40" s="6">
        <f>IF(D40="متوقف",0,H40*الافتراضات!$B$4)</f>
        <v/>
      </c>
      <c r="J40" s="6">
        <f>I40*(1+الافتراضات!$B$5)</f>
        <v/>
      </c>
      <c r="K40" s="7">
        <f>IF(D40="متوقف",0,MAX(-الافتراضات!$B$6,MIN(الافتراضات!$B$6,0.000000)))</f>
        <v/>
      </c>
      <c r="L40" s="6">
        <f>I40*(1+K40)</f>
        <v/>
      </c>
      <c r="M40" s="7">
        <f>IF(G40=0,"",I40/G40-1)</f>
        <v/>
      </c>
      <c r="N40" s="5" t="inlineStr">
        <is>
          <t>متوقف في 2026 – توقعه صفر</t>
        </is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5" t="inlineStr">
        <is>
          <t>إيرادات إستثمارية</t>
        </is>
      </c>
      <c r="D41" s="5" t="inlineStr">
        <is>
          <t>متوقف</t>
        </is>
      </c>
      <c r="E41" s="6" t="n">
        <v>0</v>
      </c>
      <c r="F41" s="6" t="n">
        <v>0</v>
      </c>
      <c r="G41" s="6" t="n">
        <v>6000</v>
      </c>
      <c r="H41" s="6" t="n">
        <v>0</v>
      </c>
      <c r="I41" s="6">
        <f>IF(D41="متوقف",0,H41*الافتراضات!$B$4)</f>
        <v/>
      </c>
      <c r="J41" s="6">
        <f>I41*(1+الافتراضات!$B$5)</f>
        <v/>
      </c>
      <c r="K41" s="7">
        <f>IF(D41="متوقف",0,MAX(-الافتراضات!$B$6,MIN(الافتراضات!$B$6,0.000000)))</f>
        <v/>
      </c>
      <c r="L41" s="6">
        <f>I41*(1+K41)</f>
        <v/>
      </c>
      <c r="M41" s="7">
        <f>IF(G41=0,"",I41/G41-1)</f>
        <v/>
      </c>
      <c r="N41" s="5" t="inlineStr">
        <is>
          <t>متوقف في 2026 – توقعه صفر</t>
        </is>
      </c>
    </row>
    <row r="42">
      <c r="A42" s="8" t="n"/>
      <c r="B42" s="8" t="inlineStr">
        <is>
          <t>الإجمالي</t>
        </is>
      </c>
      <c r="C42" s="8" t="n"/>
      <c r="D42" s="8" t="n"/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  <c r="K42" s="10">
        <f>L42/I42-1</f>
        <v/>
      </c>
      <c r="L42" s="9">
        <f>SUM(L4:L41)</f>
        <v/>
      </c>
      <c r="M42" s="10">
        <f>I42/G42-1</f>
        <v/>
      </c>
      <c r="N42" s="8" t="n"/>
    </row>
  </sheetData>
  <autoFilter ref="A3:N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ملخص حسب التبويب</t>
        </is>
      </c>
    </row>
    <row r="3" ht="42" customHeight="1">
      <c r="A3" s="4" t="inlineStr">
        <is>
          <t>التبويب</t>
        </is>
      </c>
      <c r="B3" s="4" t="inlineStr">
        <is>
          <t>2023 فعلي</t>
        </is>
      </c>
      <c r="C3" s="4" t="inlineStr">
        <is>
          <t>2024 فعلي</t>
        </is>
      </c>
      <c r="D3" s="4" t="inlineStr">
        <is>
          <t>2025 فعلي</t>
        </is>
      </c>
      <c r="E3" s="4" t="inlineStr">
        <is>
          <t>2026 فعلي (حتى سبتمبر)</t>
        </is>
      </c>
      <c r="F3" s="4" t="inlineStr">
        <is>
          <t>2026 توقع</t>
        </is>
      </c>
      <c r="G3" s="4" t="inlineStr">
        <is>
          <t>2027 – سيناريو النمو الثابت</t>
        </is>
      </c>
      <c r="H3" s="4" t="inlineStr">
        <is>
          <t>2027 – تاريخي</t>
        </is>
      </c>
    </row>
    <row r="4">
      <c r="A4" s="5" t="inlineStr">
        <is>
          <t>الرسوم والتراخيص</t>
        </is>
      </c>
      <c r="B4" s="6">
        <f>SUMIF(التوقعات!$C$4:$C$41,$A4,التوقعات!E$4:E$41)</f>
        <v/>
      </c>
      <c r="C4" s="6">
        <f>SUMIF(التوقعات!$C$4:$C$41,$A4,التوقعات!F$4:F$41)</f>
        <v/>
      </c>
      <c r="D4" s="6">
        <f>SUMIF(التوقعات!$C$4:$C$41,$A4,التوقعات!G$4:G$41)</f>
        <v/>
      </c>
      <c r="E4" s="6">
        <f>SUMIF(التوقعات!$C$4:$C$41,$A4,التوقعات!H$4:H$41)</f>
        <v/>
      </c>
      <c r="F4" s="6">
        <f>SUMIF(التوقعات!$C$4:$C$41,$A4,التوقعات!I$4:I$41)</f>
        <v/>
      </c>
      <c r="G4" s="6">
        <f>SUMIF(التوقعات!$C$4:$C$41,$A4,التوقعات!J$4:J$41)</f>
        <v/>
      </c>
      <c r="H4" s="6">
        <f>SUMIF(التوقعات!$C$4:$C$41,$A4,التوقعات!L$4:L$41)</f>
        <v/>
      </c>
    </row>
    <row r="5">
      <c r="A5" s="5" t="inlineStr">
        <is>
          <t>إيرادات إستثمارية</t>
        </is>
      </c>
      <c r="B5" s="6">
        <f>SUMIF(التوقعات!$C$4:$C$41,$A5,التوقعات!E$4:E$41)</f>
        <v/>
      </c>
      <c r="C5" s="6">
        <f>SUMIF(التوقعات!$C$4:$C$41,$A5,التوقعات!F$4:F$41)</f>
        <v/>
      </c>
      <c r="D5" s="6">
        <f>SUMIF(التوقعات!$C$4:$C$41,$A5,التوقعات!G$4:G$41)</f>
        <v/>
      </c>
      <c r="E5" s="6">
        <f>SUMIF(التوقعات!$C$4:$C$41,$A5,التوقعات!H$4:H$41)</f>
        <v/>
      </c>
      <c r="F5" s="6">
        <f>SUMIF(التوقعات!$C$4:$C$41,$A5,التوقعات!I$4:I$41)</f>
        <v/>
      </c>
      <c r="G5" s="6">
        <f>SUMIF(التوقعات!$C$4:$C$41,$A5,التوقعات!J$4:J$41)</f>
        <v/>
      </c>
      <c r="H5" s="6">
        <f>SUMIF(التوقعات!$C$4:$C$41,$A5,التوقعات!L$4:L$41)</f>
        <v/>
      </c>
    </row>
    <row r="6">
      <c r="A6" s="5" t="inlineStr">
        <is>
          <t>جزاءات وغرامات</t>
        </is>
      </c>
      <c r="B6" s="6">
        <f>SUMIF(التوقعات!$C$4:$C$41,$A6,التوقعات!E$4:E$41)</f>
        <v/>
      </c>
      <c r="C6" s="6">
        <f>SUMIF(التوقعات!$C$4:$C$41,$A6,التوقعات!F$4:F$41)</f>
        <v/>
      </c>
      <c r="D6" s="6">
        <f>SUMIF(التوقعات!$C$4:$C$41,$A6,التوقعات!G$4:G$41)</f>
        <v/>
      </c>
      <c r="E6" s="6">
        <f>SUMIF(التوقعات!$C$4:$C$41,$A6,التوقعات!H$4:H$41)</f>
        <v/>
      </c>
      <c r="F6" s="6">
        <f>SUMIF(التوقعات!$C$4:$C$41,$A6,التوقعات!I$4:I$41)</f>
        <v/>
      </c>
      <c r="G6" s="6">
        <f>SUMIF(التوقعات!$C$4:$C$41,$A6,التوقعات!J$4:J$41)</f>
        <v/>
      </c>
      <c r="H6" s="6">
        <f>SUMIF(التوقعات!$C$4:$C$41,$A6,التوقعات!L$4:L$41)</f>
        <v/>
      </c>
    </row>
    <row r="7">
      <c r="A7" s="5" t="inlineStr">
        <is>
          <t>التبغ والإيواء</t>
        </is>
      </c>
      <c r="B7" s="6">
        <f>SUMIF(التوقعات!$C$4:$C$41,$A7,التوقعات!E$4:E$41)</f>
        <v/>
      </c>
      <c r="C7" s="6">
        <f>SUMIF(التوقعات!$C$4:$C$41,$A7,التوقعات!F$4:F$41)</f>
        <v/>
      </c>
      <c r="D7" s="6">
        <f>SUMIF(التوقعات!$C$4:$C$41,$A7,التوقعات!G$4:G$41)</f>
        <v/>
      </c>
      <c r="E7" s="6">
        <f>SUMIF(التوقعات!$C$4:$C$41,$A7,التوقعات!H$4:H$41)</f>
        <v/>
      </c>
      <c r="F7" s="6">
        <f>SUMIF(التوقعات!$C$4:$C$41,$A7,التوقعات!I$4:I$41)</f>
        <v/>
      </c>
      <c r="G7" s="6">
        <f>SUMIF(التوقعات!$C$4:$C$41,$A7,التوقعات!J$4:J$41)</f>
        <v/>
      </c>
      <c r="H7" s="6">
        <f>SUMIF(التوقعات!$C$4:$C$41,$A7,التوقعات!L$4:L$41)</f>
        <v/>
      </c>
    </row>
    <row r="8">
      <c r="A8" s="5" t="inlineStr">
        <is>
          <t>أخرى</t>
        </is>
      </c>
      <c r="B8" s="6">
        <f>SUMIF(التوقعات!$C$4:$C$41,$A8,التوقعات!E$4:E$41)</f>
        <v/>
      </c>
      <c r="C8" s="6">
        <f>SUMIF(التوقعات!$C$4:$C$41,$A8,التوقعات!F$4:F$41)</f>
        <v/>
      </c>
      <c r="D8" s="6">
        <f>SUMIF(التوقعات!$C$4:$C$41,$A8,التوقعات!G$4:G$41)</f>
        <v/>
      </c>
      <c r="E8" s="6">
        <f>SUMIF(التوقعات!$C$4:$C$41,$A8,التوقعات!H$4:H$41)</f>
        <v/>
      </c>
      <c r="F8" s="6">
        <f>SUMIF(التوقعات!$C$4:$C$41,$A8,التوقعات!I$4:I$41)</f>
        <v/>
      </c>
      <c r="G8" s="6">
        <f>SUMIF(التوقعات!$C$4:$C$41,$A8,التوقعات!J$4:J$41)</f>
        <v/>
      </c>
      <c r="H8" s="6">
        <f>SUMIF(التوقعات!$C$4:$C$41,$A8,التوقعات!L$4:L$41)</f>
        <v/>
      </c>
    </row>
    <row r="9">
      <c r="A9" s="5" t="inlineStr">
        <is>
          <t>علم / جزاءات</t>
        </is>
      </c>
      <c r="B9" s="6">
        <f>SUMIF(التوقعات!$C$4:$C$41,$A9,التوقعات!E$4:E$41)</f>
        <v/>
      </c>
      <c r="C9" s="6">
        <f>SUMIF(التوقعات!$C$4:$C$41,$A9,التوقعات!F$4:F$41)</f>
        <v/>
      </c>
      <c r="D9" s="6">
        <f>SUMIF(التوقعات!$C$4:$C$41,$A9,التوقعات!G$4:G$41)</f>
        <v/>
      </c>
      <c r="E9" s="6">
        <f>SUMIF(التوقعات!$C$4:$C$41,$A9,التوقعات!H$4:H$41)</f>
        <v/>
      </c>
      <c r="F9" s="6">
        <f>SUMIF(التوقعات!$C$4:$C$41,$A9,التوقعات!I$4:I$41)</f>
        <v/>
      </c>
      <c r="G9" s="6">
        <f>SUMIF(التوقعات!$C$4:$C$41,$A9,التوقعات!J$4:J$41)</f>
        <v/>
      </c>
      <c r="H9" s="6">
        <f>SUMIF(التوقعات!$C$4:$C$41,$A9,التوقعات!L$4:L$41)</f>
        <v/>
      </c>
    </row>
    <row r="10">
      <c r="A10" s="8" t="inlineStr">
        <is>
          <t>الإجمالي</t>
        </is>
      </c>
      <c r="B10" s="9">
        <f>SUM(B4:B9)</f>
        <v/>
      </c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  <c r="G10" s="9">
        <f>SUM(G4:G9)</f>
        <v/>
      </c>
      <c r="H10" s="9">
        <f>SUM(H4:H9)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تفصيل: المفوتر مقابل المحصل عن سنوات سابقة (فعلي)</t>
        </is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2023 مفوتر</t>
        </is>
      </c>
      <c r="D3" s="4" t="inlineStr">
        <is>
          <t>2024 مفوتر</t>
        </is>
      </c>
      <c r="E3" s="4" t="inlineStr">
        <is>
          <t>2025 مفوتر</t>
        </is>
      </c>
      <c r="F3" s="4" t="inlineStr">
        <is>
          <t>2026 مفوتر</t>
        </is>
      </c>
      <c r="G3" s="4" t="inlineStr">
        <is>
          <t>2023 محصل سنوات سابقة</t>
        </is>
      </c>
      <c r="H3" s="4" t="inlineStr">
        <is>
          <t>2024 محصل سنوات سابقة</t>
        </is>
      </c>
      <c r="I3" s="4" t="inlineStr">
        <is>
          <t>2025 محصل سنوات سابقة</t>
        </is>
      </c>
      <c r="J3" s="4" t="inlineStr">
        <is>
          <t>2026 محصل سنوات سابقة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6" t="n">
        <v>685276798.25</v>
      </c>
      <c r="D4" s="6" t="n">
        <v>747468766.9400001</v>
      </c>
      <c r="E4" s="6" t="n">
        <v>911367824.01</v>
      </c>
      <c r="F4" s="6" t="n">
        <v>899147243.95</v>
      </c>
      <c r="G4" s="6" t="n">
        <v>119310650.68</v>
      </c>
      <c r="H4" s="6" t="n">
        <v>97672355.93000001</v>
      </c>
      <c r="I4" s="6" t="n">
        <v>84150751.15000001</v>
      </c>
      <c r="J4" s="6" t="n">
        <v>166052817.37</v>
      </c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6" t="n">
        <v>842413103.38</v>
      </c>
      <c r="D5" s="6" t="n">
        <v>818863150.45</v>
      </c>
      <c r="E5" s="6" t="n">
        <v>699822494.22</v>
      </c>
      <c r="F5" s="6" t="n">
        <v>644194981.0700001</v>
      </c>
      <c r="G5" s="6" t="n">
        <v>93612947.51000001</v>
      </c>
      <c r="H5" s="6" t="n">
        <v>136836492.97</v>
      </c>
      <c r="I5" s="6" t="n">
        <v>127805706.54</v>
      </c>
      <c r="J5" s="6" t="n">
        <v>159404450.96</v>
      </c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6" t="n">
        <v>169297725.51</v>
      </c>
      <c r="D6" s="6" t="n">
        <v>675745534.05</v>
      </c>
      <c r="E6" s="6" t="n">
        <v>1026901362.89</v>
      </c>
      <c r="F6" s="6" t="n">
        <v>89273830.20999999</v>
      </c>
      <c r="G6" s="6" t="n">
        <v>5770224.15</v>
      </c>
      <c r="H6" s="6" t="n">
        <v>4522788.84</v>
      </c>
      <c r="I6" s="6" t="n">
        <v>29256349.79</v>
      </c>
      <c r="J6" s="6" t="n">
        <v>37201440</v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6" t="n">
        <v>276568032.26</v>
      </c>
      <c r="D7" s="6" t="n">
        <v>304082752.31</v>
      </c>
      <c r="E7" s="6" t="n">
        <v>280875173.79</v>
      </c>
      <c r="F7" s="6" t="n">
        <v>258813219.47</v>
      </c>
      <c r="G7" s="6" t="n">
        <v>4735981.6</v>
      </c>
      <c r="H7" s="6" t="n">
        <v>4941912.88</v>
      </c>
      <c r="I7" s="6" t="n">
        <v>6180715.39</v>
      </c>
      <c r="J7" s="6" t="n">
        <v>7491806.95</v>
      </c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6" t="n">
        <v>227165553.94</v>
      </c>
      <c r="D8" s="6" t="n">
        <v>254056220.62</v>
      </c>
      <c r="E8" s="6" t="n">
        <v>309188896.33</v>
      </c>
      <c r="F8" s="6" t="n">
        <v>203954322.9</v>
      </c>
      <c r="G8" s="6" t="n">
        <v>1507527.81</v>
      </c>
      <c r="H8" s="6" t="n">
        <v>3262677.32</v>
      </c>
      <c r="I8" s="6" t="n">
        <v>12671460.9</v>
      </c>
      <c r="J8" s="6" t="n">
        <v>2176918.65</v>
      </c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6" t="n">
        <v>235334700</v>
      </c>
      <c r="D9" s="6" t="n">
        <v>245643640</v>
      </c>
      <c r="E9" s="6" t="n">
        <v>206108511.99</v>
      </c>
      <c r="F9" s="6" t="n">
        <v>181886685.04</v>
      </c>
      <c r="G9" s="6" t="n">
        <v>3732890</v>
      </c>
      <c r="H9" s="6" t="n">
        <v>3707050</v>
      </c>
      <c r="I9" s="6" t="n">
        <v>4523545</v>
      </c>
      <c r="J9" s="6" t="n">
        <v>5842344.18</v>
      </c>
    </row>
    <row r="10">
      <c r="A10" s="5" t="inlineStr">
        <is>
          <t>11442</t>
        </is>
      </c>
      <c r="B10" s="5" t="inlineStr">
        <is>
          <t>اشغال مرافق الايواء</t>
        </is>
      </c>
      <c r="C10" s="6" t="n">
        <v>226255233.36</v>
      </c>
      <c r="D10" s="6" t="n">
        <v>265782264.81</v>
      </c>
      <c r="E10" s="6" t="n">
        <v>214388793.68</v>
      </c>
      <c r="F10" s="6" t="n">
        <v>150053045.05</v>
      </c>
      <c r="G10" s="6" t="n">
        <v>5474695.31</v>
      </c>
      <c r="H10" s="6" t="n">
        <v>10789260.17</v>
      </c>
      <c r="I10" s="6" t="n">
        <v>6643371.38</v>
      </c>
      <c r="J10" s="6" t="n">
        <v>6629902.01</v>
      </c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6" t="n">
        <v>33200365.92</v>
      </c>
      <c r="D11" s="6" t="n">
        <v>49511130.97</v>
      </c>
      <c r="E11" s="6" t="n">
        <v>30887735.58</v>
      </c>
      <c r="F11" s="6" t="n">
        <v>421494517.08</v>
      </c>
      <c r="G11" s="6" t="n">
        <v>414045</v>
      </c>
      <c r="H11" s="6" t="n">
        <v>4185896.67</v>
      </c>
      <c r="I11" s="6" t="n">
        <v>4184990.77</v>
      </c>
      <c r="J11" s="6" t="n">
        <v>9270986.33</v>
      </c>
    </row>
    <row r="12">
      <c r="A12" s="5" t="inlineStr">
        <is>
          <t>1421999</t>
        </is>
      </c>
      <c r="B12" s="5" t="inlineStr">
        <is>
          <t>مبيعات أخرى</t>
        </is>
      </c>
      <c r="C12" s="6" t="n">
        <v>139746712.86</v>
      </c>
      <c r="D12" s="6" t="n">
        <v>126943166.07</v>
      </c>
      <c r="E12" s="6" t="n">
        <v>57649813.43</v>
      </c>
      <c r="F12" s="6" t="n">
        <v>145179473.75</v>
      </c>
      <c r="G12" s="6" t="n">
        <v>12654406.26</v>
      </c>
      <c r="H12" s="6" t="n">
        <v>39806593.22</v>
      </c>
      <c r="I12" s="6" t="n">
        <v>16011104.69</v>
      </c>
      <c r="J12" s="6" t="n">
        <v>2521182.37</v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6" t="n">
        <v>9219073.48</v>
      </c>
      <c r="D13" s="6" t="n">
        <v>13582347.46</v>
      </c>
      <c r="E13" s="6" t="n">
        <v>78828800.53</v>
      </c>
      <c r="F13" s="6" t="n">
        <v>297191478.48</v>
      </c>
      <c r="G13" s="6" t="n">
        <v>722827.09</v>
      </c>
      <c r="H13" s="6" t="n">
        <v>551469.75</v>
      </c>
      <c r="I13" s="6" t="n">
        <v>1918938.67</v>
      </c>
      <c r="J13" s="6" t="n">
        <v>19305484.78</v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6" t="n">
        <v>72701817.54000001</v>
      </c>
      <c r="D14" s="6" t="n">
        <v>140513661.33</v>
      </c>
      <c r="E14" s="6" t="n">
        <v>101287573.05</v>
      </c>
      <c r="F14" s="6" t="n">
        <v>78309014.93000001</v>
      </c>
      <c r="G14" s="6" t="n">
        <v>2364215.5</v>
      </c>
      <c r="H14" s="6" t="n">
        <v>1689112.21</v>
      </c>
      <c r="I14" s="6" t="n">
        <v>4167606.53</v>
      </c>
      <c r="J14" s="6" t="n">
        <v>2414078.01</v>
      </c>
    </row>
    <row r="15">
      <c r="A15" s="5" t="inlineStr">
        <is>
          <t>1421909</t>
        </is>
      </c>
      <c r="B15" s="5" t="inlineStr">
        <is>
          <t>جمع النفايات</t>
        </is>
      </c>
      <c r="C15" s="6" t="n">
        <v>81156665.08</v>
      </c>
      <c r="D15" s="6" t="n">
        <v>87441839.75</v>
      </c>
      <c r="E15" s="6" t="n">
        <v>79209685.56</v>
      </c>
      <c r="F15" s="6" t="n">
        <v>76301330.65000001</v>
      </c>
      <c r="G15" s="6" t="n">
        <v>1871186.45</v>
      </c>
      <c r="H15" s="6" t="n">
        <v>1828100.87</v>
      </c>
      <c r="I15" s="6" t="n">
        <v>1778808.27</v>
      </c>
      <c r="J15" s="6" t="n">
        <v>2912175.55</v>
      </c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6" t="n">
        <v>66565866.19</v>
      </c>
      <c r="D16" s="6" t="n">
        <v>65178247.05</v>
      </c>
      <c r="E16" s="6" t="n">
        <v>560490.41</v>
      </c>
      <c r="F16" s="6" t="n">
        <v>0</v>
      </c>
      <c r="G16" s="6" t="n">
        <v>319033.78</v>
      </c>
      <c r="H16" s="6" t="n">
        <v>289038.85</v>
      </c>
      <c r="I16" s="6" t="n">
        <v>74246.06</v>
      </c>
      <c r="J16" s="6" t="n">
        <v>1350</v>
      </c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6" t="n">
        <v>4391166.64</v>
      </c>
      <c r="D17" s="6" t="n">
        <v>19598327.65</v>
      </c>
      <c r="E17" s="6" t="n">
        <v>26544701.29</v>
      </c>
      <c r="F17" s="6" t="n">
        <v>31807755.11</v>
      </c>
      <c r="G17" s="6" t="n">
        <v>31103</v>
      </c>
      <c r="H17" s="6" t="n">
        <v>106057.75</v>
      </c>
      <c r="I17" s="6" t="n">
        <v>364687.58</v>
      </c>
      <c r="J17" s="6" t="n">
        <v>2326052.14</v>
      </c>
    </row>
    <row r="18">
      <c r="A18" s="5" t="inlineStr">
        <is>
          <t>1422108</t>
        </is>
      </c>
      <c r="B18" s="5" t="inlineStr">
        <is>
          <t>الشهادات الصحية</t>
        </is>
      </c>
      <c r="C18" s="6" t="n">
        <v>19375523.29</v>
      </c>
      <c r="D18" s="6" t="n">
        <v>13396724.24</v>
      </c>
      <c r="E18" s="6" t="n">
        <v>25250138.75</v>
      </c>
      <c r="F18" s="6" t="n">
        <v>21432048.85</v>
      </c>
      <c r="G18" s="6" t="n">
        <v>1893132.74</v>
      </c>
      <c r="H18" s="6" t="n">
        <v>472946.84</v>
      </c>
      <c r="I18" s="6" t="n">
        <v>1049260.99</v>
      </c>
      <c r="J18" s="6" t="n">
        <v>202309.67</v>
      </c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6" t="n">
        <v>16817800</v>
      </c>
      <c r="D19" s="6" t="n">
        <v>16115000</v>
      </c>
      <c r="E19" s="6" t="n">
        <v>15767478.8</v>
      </c>
      <c r="F19" s="6" t="n">
        <v>13744093.5</v>
      </c>
      <c r="G19" s="6" t="n">
        <v>170000</v>
      </c>
      <c r="H19" s="6" t="n">
        <v>2095000</v>
      </c>
      <c r="I19" s="6" t="n">
        <v>445000</v>
      </c>
      <c r="J19" s="6" t="n">
        <v>563914.51</v>
      </c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6" t="n">
        <v>4834590</v>
      </c>
      <c r="D20" s="6" t="n">
        <v>14372921.25</v>
      </c>
      <c r="E20" s="6" t="n">
        <v>21894648.75</v>
      </c>
      <c r="F20" s="6" t="n">
        <v>21614573.75</v>
      </c>
      <c r="G20" s="6" t="n">
        <v>25478.75</v>
      </c>
      <c r="H20" s="6" t="n">
        <v>47212.5</v>
      </c>
      <c r="I20" s="6" t="n">
        <v>143111.25</v>
      </c>
      <c r="J20" s="6" t="n">
        <v>223263.75</v>
      </c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6" t="n">
        <v>8085858</v>
      </c>
      <c r="D21" s="6" t="n">
        <v>6095216.75</v>
      </c>
      <c r="E21" s="6" t="n">
        <v>3675127.5</v>
      </c>
      <c r="F21" s="6" t="n">
        <v>9088249.050000001</v>
      </c>
      <c r="G21" s="6" t="n">
        <v>962397.9300000001</v>
      </c>
      <c r="H21" s="6" t="n">
        <v>1449039.5</v>
      </c>
      <c r="I21" s="6" t="n">
        <v>1243619.25</v>
      </c>
      <c r="J21" s="6" t="n">
        <v>3222365.71</v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6" t="n">
        <v>9441840.73</v>
      </c>
      <c r="D22" s="6" t="n">
        <v>9503239.65</v>
      </c>
      <c r="E22" s="6" t="n">
        <v>7617004.28</v>
      </c>
      <c r="F22" s="6" t="n">
        <v>6172791.57</v>
      </c>
      <c r="G22" s="6" t="n">
        <v>155319.35</v>
      </c>
      <c r="H22" s="6" t="n">
        <v>90130</v>
      </c>
      <c r="I22" s="6" t="n">
        <v>87207.50999999999</v>
      </c>
      <c r="J22" s="6" t="n">
        <v>159206.88</v>
      </c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6" t="n">
        <v>6029932.4</v>
      </c>
      <c r="D23" s="6" t="n">
        <v>5182284.58</v>
      </c>
      <c r="E23" s="6" t="n">
        <v>5989835.57</v>
      </c>
      <c r="F23" s="6" t="n">
        <v>11838949.26</v>
      </c>
      <c r="G23" s="6" t="n">
        <v>47804.3</v>
      </c>
      <c r="H23" s="6" t="n">
        <v>45780.61</v>
      </c>
      <c r="I23" s="6" t="n">
        <v>61374.59</v>
      </c>
      <c r="J23" s="6" t="n">
        <v>267274.16</v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6" t="n">
        <v>3769312.51</v>
      </c>
      <c r="D24" s="6" t="n">
        <v>2921517.06</v>
      </c>
      <c r="E24" s="6" t="n">
        <v>3529618.23</v>
      </c>
      <c r="F24" s="6" t="n">
        <v>3571838.39</v>
      </c>
      <c r="G24" s="6" t="n">
        <v>84268.85000000001</v>
      </c>
      <c r="H24" s="6" t="n">
        <v>24904.75</v>
      </c>
      <c r="I24" s="6" t="n">
        <v>37009.2</v>
      </c>
      <c r="J24" s="6" t="n">
        <v>88952.23</v>
      </c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6" t="n">
        <v>3533600</v>
      </c>
      <c r="D25" s="6" t="n">
        <v>255186</v>
      </c>
      <c r="E25" s="6" t="n">
        <v>8503508</v>
      </c>
      <c r="F25" s="6" t="n">
        <v>519000</v>
      </c>
      <c r="G25" s="6" t="n">
        <v>3500</v>
      </c>
      <c r="H25" s="6" t="n">
        <v>1000</v>
      </c>
      <c r="I25" s="6" t="n">
        <v>0</v>
      </c>
      <c r="J25" s="6" t="n">
        <v>0</v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6" t="n">
        <v>2937506</v>
      </c>
      <c r="D26" s="6" t="n">
        <v>2737695</v>
      </c>
      <c r="E26" s="6" t="n">
        <v>2503277</v>
      </c>
      <c r="F26" s="6" t="n">
        <v>1852136</v>
      </c>
      <c r="G26" s="6" t="n">
        <v>7500</v>
      </c>
      <c r="H26" s="6" t="n">
        <v>16100</v>
      </c>
      <c r="I26" s="6" t="n">
        <v>17200</v>
      </c>
      <c r="J26" s="6" t="n">
        <v>8100</v>
      </c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6" t="n">
        <v>0</v>
      </c>
      <c r="D27" s="6" t="n">
        <v>0</v>
      </c>
      <c r="E27" s="6" t="n">
        <v>8083209.81</v>
      </c>
      <c r="F27" s="6" t="n">
        <v>170710.39</v>
      </c>
      <c r="G27" s="6" t="n">
        <v>0</v>
      </c>
      <c r="H27" s="6" t="n">
        <v>0</v>
      </c>
      <c r="I27" s="6" t="n">
        <v>0</v>
      </c>
      <c r="J27" s="6" t="n">
        <v>131317.26</v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6" t="n">
        <v>5975450</v>
      </c>
      <c r="D28" s="6" t="n">
        <v>0</v>
      </c>
      <c r="E28" s="6" t="n">
        <v>0</v>
      </c>
      <c r="F28" s="6" t="n">
        <v>0</v>
      </c>
      <c r="G28" s="6" t="n">
        <v>905753</v>
      </c>
      <c r="H28" s="6" t="n">
        <v>486100</v>
      </c>
      <c r="I28" s="6" t="n">
        <v>352900</v>
      </c>
      <c r="J28" s="6" t="n">
        <v>59500</v>
      </c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6" t="n">
        <v>836002.1899999999</v>
      </c>
      <c r="D29" s="6" t="n">
        <v>2053263.42</v>
      </c>
      <c r="E29" s="6" t="n">
        <v>2450880.59</v>
      </c>
      <c r="F29" s="6" t="n">
        <v>1444704.96</v>
      </c>
      <c r="G29" s="6" t="n">
        <v>2418</v>
      </c>
      <c r="H29" s="6" t="n">
        <v>0</v>
      </c>
      <c r="I29" s="6" t="n">
        <v>9422.92</v>
      </c>
      <c r="J29" s="6" t="n">
        <v>3150</v>
      </c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6" t="n">
        <v>989500</v>
      </c>
      <c r="D30" s="6" t="n">
        <v>1458100</v>
      </c>
      <c r="E30" s="6" t="n">
        <v>1498900</v>
      </c>
      <c r="F30" s="6" t="n">
        <v>323000</v>
      </c>
      <c r="G30" s="6" t="n">
        <v>17600</v>
      </c>
      <c r="H30" s="6" t="n">
        <v>112000</v>
      </c>
      <c r="I30" s="6" t="n">
        <v>91100</v>
      </c>
      <c r="J30" s="6" t="n">
        <v>153400</v>
      </c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6" t="n">
        <v>900053.05</v>
      </c>
      <c r="D31" s="6" t="n">
        <v>804465.15</v>
      </c>
      <c r="E31" s="6" t="n">
        <v>816539.9300000001</v>
      </c>
      <c r="F31" s="6" t="n">
        <v>631902.8</v>
      </c>
      <c r="G31" s="6" t="n">
        <v>74951</v>
      </c>
      <c r="H31" s="6" t="n">
        <v>234324.1</v>
      </c>
      <c r="I31" s="6" t="n">
        <v>197903.29</v>
      </c>
      <c r="J31" s="6" t="n">
        <v>14942.32</v>
      </c>
    </row>
    <row r="32">
      <c r="A32" s="5" t="inlineStr">
        <is>
          <t>141229</t>
        </is>
      </c>
      <c r="B32" s="5" t="inlineStr">
        <is>
          <t>أرباح أخرى</t>
        </is>
      </c>
      <c r="C32" s="6" t="n">
        <v>1070572</v>
      </c>
      <c r="D32" s="6" t="n">
        <v>2100000</v>
      </c>
      <c r="E32" s="6" t="n">
        <v>0</v>
      </c>
      <c r="F32" s="6" t="n">
        <v>0</v>
      </c>
      <c r="G32" s="6" t="n">
        <v>40000</v>
      </c>
      <c r="H32" s="6" t="n">
        <v>120000</v>
      </c>
      <c r="I32" s="6" t="n">
        <v>30000</v>
      </c>
      <c r="J32" s="6" t="n">
        <v>60000</v>
      </c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6" t="n">
        <v>1309274.5</v>
      </c>
      <c r="D33" s="6" t="n">
        <v>1328839.22</v>
      </c>
      <c r="E33" s="6" t="n">
        <v>590496.73</v>
      </c>
      <c r="F33" s="6" t="n">
        <v>0</v>
      </c>
      <c r="G33" s="6" t="n">
        <v>2300</v>
      </c>
      <c r="H33" s="6" t="n">
        <v>1800</v>
      </c>
      <c r="I33" s="6" t="n">
        <v>1900</v>
      </c>
      <c r="J33" s="6" t="n">
        <v>100</v>
      </c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6" t="n">
        <v>49000</v>
      </c>
      <c r="D34" s="6" t="n">
        <v>92000</v>
      </c>
      <c r="E34" s="6" t="n">
        <v>234273.52</v>
      </c>
      <c r="F34" s="6" t="n">
        <v>193711.09</v>
      </c>
      <c r="G34" s="6" t="n">
        <v>5000</v>
      </c>
      <c r="H34" s="6" t="n">
        <v>0</v>
      </c>
      <c r="I34" s="6" t="n">
        <v>2000</v>
      </c>
      <c r="J34" s="6" t="n">
        <v>6473.52</v>
      </c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6" t="n">
        <v>0</v>
      </c>
      <c r="D35" s="6" t="n">
        <v>0</v>
      </c>
      <c r="E35" s="6" t="n">
        <v>152767.79</v>
      </c>
      <c r="F35" s="6" t="n">
        <v>361665.23</v>
      </c>
      <c r="G35" s="6" t="n">
        <v>0</v>
      </c>
      <c r="H35" s="6" t="n">
        <v>0</v>
      </c>
      <c r="I35" s="6" t="n">
        <v>0</v>
      </c>
      <c r="J35" s="6" t="n">
        <v>0</v>
      </c>
    </row>
    <row r="36">
      <c r="A36" s="5" t="inlineStr">
        <is>
          <t>11422</t>
        </is>
      </c>
      <c r="B36" s="5" t="inlineStr">
        <is>
          <t>رسوم منتجات التبغ</t>
        </is>
      </c>
      <c r="C36" s="6" t="n">
        <v>3000</v>
      </c>
      <c r="D36" s="6" t="n">
        <v>5167</v>
      </c>
      <c r="E36" s="6" t="n">
        <v>45000</v>
      </c>
      <c r="F36" s="6" t="n">
        <v>0</v>
      </c>
      <c r="G36" s="6" t="n">
        <v>24000</v>
      </c>
      <c r="H36" s="6" t="n">
        <v>0</v>
      </c>
      <c r="I36" s="6" t="n">
        <v>27000</v>
      </c>
      <c r="J36" s="6" t="n">
        <v>0</v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6" t="n">
        <v>0</v>
      </c>
      <c r="D37" s="6" t="n">
        <v>0</v>
      </c>
      <c r="E37" s="6" t="n">
        <v>0</v>
      </c>
      <c r="F37" s="6" t="n">
        <v>0</v>
      </c>
      <c r="G37" s="6" t="n">
        <v>67711.60000000001</v>
      </c>
      <c r="H37" s="6" t="n">
        <v>16269.6</v>
      </c>
      <c r="I37" s="6" t="n">
        <v>1603.2</v>
      </c>
      <c r="J37" s="6" t="n">
        <v>432</v>
      </c>
    </row>
    <row r="38">
      <c r="A38" s="5" t="inlineStr">
        <is>
          <t>11452513</t>
        </is>
      </c>
      <c r="B38" s="5" t="inlineStr">
        <is>
          <t>لوحات إرشـادية</t>
        </is>
      </c>
      <c r="C38" s="6" t="n">
        <v>0</v>
      </c>
      <c r="D38" s="6" t="n">
        <v>0</v>
      </c>
      <c r="E38" s="6" t="n">
        <v>0</v>
      </c>
      <c r="F38" s="6" t="n">
        <v>0</v>
      </c>
      <c r="G38" s="6" t="n">
        <v>55525</v>
      </c>
      <c r="H38" s="6" t="n">
        <v>12875</v>
      </c>
      <c r="I38" s="6" t="n">
        <v>9000</v>
      </c>
      <c r="J38" s="6" t="n">
        <v>600</v>
      </c>
    </row>
    <row r="39">
      <c r="A39" s="5" t="inlineStr">
        <is>
          <t>1421907</t>
        </is>
      </c>
      <c r="B39" s="5" t="inlineStr">
        <is>
          <t>إيرادات المخططات</t>
        </is>
      </c>
      <c r="C39" s="6" t="n">
        <v>0</v>
      </c>
      <c r="D39" s="6" t="n">
        <v>0</v>
      </c>
      <c r="E39" s="6" t="n">
        <v>21950</v>
      </c>
      <c r="F39" s="6" t="n">
        <v>6250</v>
      </c>
      <c r="G39" s="6" t="n">
        <v>0</v>
      </c>
      <c r="H39" s="6" t="n">
        <v>0</v>
      </c>
      <c r="I39" s="6" t="n">
        <v>0</v>
      </c>
      <c r="J39" s="6" t="n">
        <v>100</v>
      </c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6" t="n">
        <v>16385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6" t="n">
        <v>0</v>
      </c>
      <c r="D41" s="6" t="n">
        <v>0</v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6000</v>
      </c>
      <c r="J41" s="6" t="n">
        <v>0</v>
      </c>
    </row>
    <row r="42">
      <c r="A42" s="8" t="n"/>
      <c r="B42" s="8" t="inlineStr">
        <is>
          <t>الإجمالي</t>
        </is>
      </c>
      <c r="C42" s="9">
        <f>SUM(C4:C41)</f>
        <v/>
      </c>
      <c r="D42" s="9">
        <f>SUM(D4:D41)</f>
        <v/>
      </c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rightToLeft="1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60" customWidth="1" min="3" max="3"/>
  </cols>
  <sheetData>
    <row r="1">
      <c r="A1" s="1" t="inlineStr">
        <is>
          <t>الافتراضات (الخلايا الصفراء قابلة للتعديل)</t>
        </is>
      </c>
    </row>
    <row r="3" ht="42" customHeight="1">
      <c r="A3" s="4" t="inlineStr">
        <is>
          <t>البند</t>
        </is>
      </c>
      <c r="B3" s="4" t="inlineStr">
        <is>
          <t>القيمة</t>
        </is>
      </c>
      <c r="C3" s="4" t="inlineStr">
        <is>
          <t>ملاحظة</t>
        </is>
      </c>
    </row>
    <row r="4">
      <c r="A4" t="inlineStr">
        <is>
          <t>معامل تحويل 2026 إلى سنة كاملة (12÷9)</t>
        </is>
      </c>
      <c r="B4" s="11">
        <f>12/9</f>
        <v/>
      </c>
      <c r="C4" t="inlineStr">
        <is>
          <t>المتاح فعلياً 9 أشهر (يناير–سبتمبر 2026)</t>
        </is>
      </c>
    </row>
    <row r="5">
      <c r="A5" t="inlineStr">
        <is>
          <t>نسبة النمو – السيناريو الأول (ثابتة)</t>
        </is>
      </c>
      <c r="B5" s="12">
        <f>التوقعات!C2</f>
        <v/>
      </c>
      <c r="C5" t="inlineStr">
        <is>
          <t>تُعدَّل من خلية C2 في ورقة التوقعات</t>
        </is>
      </c>
    </row>
    <row r="6">
      <c r="A6" t="inlineStr">
        <is>
          <t>سقف معدل النمو التاريخي (±)</t>
        </is>
      </c>
      <c r="B6" s="12" t="n">
        <v>0.25</v>
      </c>
      <c r="C6" t="inlineStr">
        <is>
          <t>لتفادي القفزات الكبيرة في الحسابات المتذبذبة؛ قابل للتعديل</t>
        </is>
      </c>
    </row>
    <row r="9">
      <c r="A9" s="2" t="inlineStr">
        <is>
          <t>منهجية الحساب:</t>
        </is>
      </c>
    </row>
    <row r="10">
      <c r="A10" s="13" t="inlineStr">
        <is>
          <t>1) الإجمالي المفوتر للحساب = المفوتر + المحصل عن سنوات سابقة (حسب طلبك).</t>
        </is>
      </c>
    </row>
    <row r="11">
      <c r="A11" s="13" t="inlineStr">
        <is>
          <t>2) توقع 2026 = الفعلي حتى سبتمبر × 12/9 (لا توجد بيانات شهرية، فلا موسمية في التوقع).</t>
        </is>
      </c>
    </row>
    <row r="12">
      <c r="A12" s="13" t="inlineStr">
        <is>
          <t>3) الحسابات التي فوترتها وتحصيلها صفر في 2026 تُعتبر متوقفة وتوقعها صفر في 2026 و2027.</t>
        </is>
      </c>
    </row>
    <row r="13">
      <c r="A13" s="13" t="inlineStr">
        <is>
          <t>4) 2027 – السيناريو الأول: توقع 2026 × (1 + نسبة النمو في خلية C2 بورقة التوقعات؛ الافتراضي 7%).</t>
        </is>
      </c>
    </row>
    <row r="14">
      <c r="A14" s="13" t="inlineStr">
        <is>
          <t>5) 2027 – السيناريو الثاني: توقع 2026 × (1 + معدل النمو السنوي المركب التاريخي للحساب بين أول سنة فيها فوترة و2025، بسقف ±25%). إن توفرت سنة واحدة فقط من البيانات = نمو 0%.</t>
        </is>
      </c>
    </row>
    <row r="15">
      <c r="A15" s="13" t="inlineStr">
        <is>
          <t>6) تم استبعاد حساب قيمة الضريبة المضافة (11411) من كل الحسابات والإجماليات.</t>
        </is>
      </c>
    </row>
    <row r="16">
      <c r="A16" s="13" t="inlineStr">
        <is>
          <t>6b) تم دمج صفّي "بدون رقم" (خدمات علم + جزاءات، وجزاءات جزء ضئيل) في صف واحد لكل سنة.</t>
        </is>
      </c>
    </row>
    <row r="17">
      <c r="A17" s="13" t="inlineStr">
        <is>
          <t>7) تنبيه: كثير من الحسابات تتذبذب بشدة بين السنوات (لوحات دعائية، تأجير المرافق، إيرادات متنوعة)، ومضاعفة 2026 على 12/9 تضخّم أو تقلّل هذه الأرقام؛ انظر عمود "تنبيه".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2026-10-15T15:46:46Z</dcterms:created>
  <dcterms:modified xmlns:dcterms="http://purl.org/dc/terms/" xmlns:xsi="http://www.w3.org/2001/XMLSchema-instance" xsi:type="dcterms:W3CDTF">2026-10-15T15:46:46Z</dcterms:modified>
</cp:coreProperties>
</file>