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توقعات" sheetId="1" state="visible" r:id="rId1"/>
    <sheet xmlns:r="http://schemas.openxmlformats.org/officeDocument/2006/relationships" name="حسب التبويب" sheetId="2" state="visible" r:id="rId2"/>
    <sheet xmlns:r="http://schemas.openxmlformats.org/officeDocument/2006/relationships" name="تفصيل المكونات" sheetId="3" state="visible" r:id="rId3"/>
    <sheet xmlns:r="http://schemas.openxmlformats.org/officeDocument/2006/relationships" name="توقع المحصل 2026" sheetId="4" state="visible" r:id="rId4"/>
    <sheet xmlns:r="http://schemas.openxmlformats.org/officeDocument/2006/relationships" name="تحليل التوقع والأسوأ" sheetId="5" state="visible" r:id="rId5"/>
    <sheet xmlns:r="http://schemas.openxmlformats.org/officeDocument/2006/relationships" name="توقع المحصل الموسمي" sheetId="6" state="visible" r:id="rId6"/>
    <sheet xmlns:r="http://schemas.openxmlformats.org/officeDocument/2006/relationships" name="الموسمية الشهرية" sheetId="7" state="visible" r:id="rId7"/>
    <sheet xmlns:r="http://schemas.openxmlformats.org/officeDocument/2006/relationships" name="توقع المحصل (المراقبة)" sheetId="8" state="visible" r:id="rId8"/>
    <sheet xmlns:r="http://schemas.openxmlformats.org/officeDocument/2006/relationships" name="المحصل 2023-2026" sheetId="9" state="visible" r:id="rId9"/>
    <sheet xmlns:r="http://schemas.openxmlformats.org/officeDocument/2006/relationships" name="الافتراضات" sheetId="10" state="visible" r:id="rId10"/>
  </sheets>
  <definedNames>
    <definedName name="_xlnm._FilterDatabase" localSheetId="0" hidden="1">'التوقعات'!$A$3:$R$41</definedName>
    <definedName name="_xlnm._FilterDatabase" localSheetId="3" hidden="1">'توقع المحصل 2026'!$A$3:$N$41</definedName>
    <definedName name="_xlnm._FilterDatabase" localSheetId="4" hidden="1">'تحليل التوقع والأسوأ'!$A$4:$O$42</definedName>
    <definedName name="_xlnm._FilterDatabase" localSheetId="5" hidden="1">'توقع المحصل الموسمي'!$A$5:$Q$43</definedName>
    <definedName name="_xlnm._FilterDatabase" localSheetId="7" hidden="1">'توقع المحصل (المراقبة)'!$A$5:$U$48</definedName>
    <definedName name="_xlnm._FilterDatabase" localSheetId="8" hidden="1">'المحصل 2023-2026'!$A$4:$M$47</definedName>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quot;-&quot;"/>
  </numFmts>
  <fonts count="8">
    <font>
      <name val="Calibri"/>
      <family val="2"/>
      <color theme="1"/>
      <sz val="11"/>
      <scheme val="minor"/>
    </font>
    <font>
      <name val="Arial"/>
      <b val="1"/>
      <sz val="13"/>
    </font>
    <font>
      <name val="Arial"/>
      <b val="1"/>
      <color rgb="00FFFFFF"/>
    </font>
    <font>
      <name val="Arial"/>
      <b val="1"/>
    </font>
    <font>
      <name val="Arial"/>
    </font>
    <font>
      <name val="Arial"/>
      <sz val="10"/>
    </font>
    <font>
      <name val="Arial"/>
      <b val="1"/>
      <sz val="10"/>
    </font>
    <font>
      <name val="Arial"/>
      <sz val="9"/>
    </font>
  </fonts>
  <fills count="5">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3" fillId="0" borderId="0" pivotButton="0" quotePrefix="0" xfId="0"/>
    <xf numFmtId="165" fontId="3" fillId="3" borderId="1" applyAlignment="1" pivotButton="0" quotePrefix="0" xfId="0">
      <alignment horizontal="center"/>
    </xf>
    <xf numFmtId="0" fontId="2" fillId="2" borderId="1" applyAlignment="1" pivotButton="0" quotePrefix="0" xfId="0">
      <alignment horizontal="center" vertical="center" wrapText="1"/>
    </xf>
    <xf numFmtId="0" fontId="5" fillId="0" borderId="1" pivotButton="0" quotePrefix="0" xfId="0"/>
    <xf numFmtId="166" fontId="5" fillId="0" borderId="1" pivotButton="0" quotePrefix="0" xfId="0"/>
    <xf numFmtId="165" fontId="5" fillId="0" borderId="1" pivotButton="0" quotePrefix="0" xfId="0"/>
    <xf numFmtId="0" fontId="6" fillId="4" borderId="1" pivotButton="0" quotePrefix="0" xfId="0"/>
    <xf numFmtId="166" fontId="6" fillId="4" borderId="1" pivotButton="0" quotePrefix="0" xfId="0"/>
    <xf numFmtId="165" fontId="6" fillId="4" borderId="1" pivotButton="0" quotePrefix="0" xfId="0"/>
    <xf numFmtId="0" fontId="7" fillId="0" borderId="0" pivotButton="0" quotePrefix="0" xfId="0"/>
    <xf numFmtId="0" fontId="7" fillId="0" borderId="0" applyAlignment="1" pivotButton="0" quotePrefix="0" xfId="0">
      <alignment vertical="top" wrapText="1"/>
    </xf>
    <xf numFmtId="0" fontId="5" fillId="0" borderId="0" pivotButton="0" quotePrefix="0" xfId="0"/>
    <xf numFmtId="166" fontId="3" fillId="3" borderId="0" pivotButton="0" quotePrefix="0" xfId="0"/>
    <xf numFmtId="2" fontId="5" fillId="0" borderId="1" pivotButton="0" quotePrefix="0" xfId="0"/>
    <xf numFmtId="0" fontId="5" fillId="0" borderId="1" applyAlignment="1" pivotButton="0" quotePrefix="0" xfId="0">
      <alignment vertical="top" wrapText="1"/>
    </xf>
    <xf numFmtId="2" fontId="6" fillId="4" borderId="1" pivotButton="0" quotePrefix="0" xfId="0"/>
    <xf numFmtId="0" fontId="6" fillId="4" borderId="1" applyAlignment="1" pivotButton="0" quotePrefix="0" xfId="0">
      <alignment vertical="top" wrapText="1"/>
    </xf>
    <xf numFmtId="164" fontId="0" fillId="3" borderId="0" pivotButton="0" quotePrefix="0" xfId="0"/>
    <xf numFmtId="165" fontId="0" fillId="3" borderId="0" pivotButton="0" quotePrefix="0" xfId="0"/>
    <xf numFmtId="2" fontId="0"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8" customWidth="1" min="3" max="3"/>
    <col width="9" customWidth="1" min="4" max="4"/>
    <col width="16" customWidth="1" min="5" max="5"/>
    <col width="16" customWidth="1" min="6" max="6"/>
    <col width="16" customWidth="1" min="7" max="7"/>
    <col width="18" customWidth="1" min="8" max="8"/>
    <col width="18" customWidth="1" min="9" max="9"/>
    <col width="18" customWidth="1" min="10" max="10"/>
    <col width="14" customWidth="1" min="11" max="11"/>
    <col width="18" customWidth="1" min="12" max="12"/>
    <col width="12" customWidth="1" min="13" max="13"/>
    <col width="12" customWidth="1" min="14" max="14"/>
    <col width="14" customWidth="1" min="15" max="15"/>
    <col width="16" customWidth="1" min="16" max="16"/>
    <col width="16" customWidth="1" min="17" max="17"/>
    <col width="30" customWidth="1" min="18" max="18"/>
  </cols>
  <sheetData>
    <row r="1">
      <c r="A1" s="1" t="inlineStr">
        <is>
          <t>توقع الفوترة لكل حساب: 2026 ونهاية السنة و2027 (المفوتر + المحصل عن سنوات سابقة)</t>
        </is>
      </c>
    </row>
    <row r="2">
      <c r="B2" s="2" t="inlineStr">
        <is>
          <t>نسبة النمو لسيناريو 2027 (عدّلها هنا):</t>
        </is>
      </c>
      <c r="C2" s="3" t="n">
        <v>0.07000000000000001</v>
      </c>
    </row>
    <row r="3" ht="42" customHeight="1">
      <c r="A3" s="4" t="inlineStr">
        <is>
          <t>رقم الحساب</t>
        </is>
      </c>
      <c r="B3" s="4" t="inlineStr">
        <is>
          <t>اسم الحساب</t>
        </is>
      </c>
      <c r="C3" s="4" t="inlineStr">
        <is>
          <t>التبويب</t>
        </is>
      </c>
      <c r="D3" s="4" t="inlineStr">
        <is>
          <t>الحالة</t>
        </is>
      </c>
      <c r="E3" s="4" t="inlineStr">
        <is>
          <t>2023 فعلي</t>
        </is>
      </c>
      <c r="F3" s="4" t="inlineStr">
        <is>
          <t>2024 فعلي</t>
        </is>
      </c>
      <c r="G3" s="4" t="inlineStr">
        <is>
          <t>2025 فعلي</t>
        </is>
      </c>
      <c r="H3" s="4" t="inlineStr">
        <is>
          <t>2026 فعلي (حتى سبتمبر)</t>
        </is>
      </c>
      <c r="I3" s="4" t="inlineStr">
        <is>
          <t>2026 توقع نهاية السنة</t>
        </is>
      </c>
      <c r="J3" s="4">
        <f>"2027 – سيناريو "&amp;TEXT($C$2,"0.0%")</f>
        <v/>
      </c>
      <c r="K3" s="4" t="inlineStr">
        <is>
          <t>معدل النمو التاريخي (بعد السقف)</t>
        </is>
      </c>
      <c r="L3" s="4" t="inlineStr">
        <is>
          <t>2027 – سيناريو النمو التاريخي</t>
        </is>
      </c>
      <c r="M3" s="4" t="inlineStr">
        <is>
          <t>نمو 2024 عن 2023</t>
        </is>
      </c>
      <c r="N3" s="4" t="inlineStr">
        <is>
          <t>نمو 2025 عن 2024</t>
        </is>
      </c>
      <c r="O3" s="4" t="inlineStr">
        <is>
          <t>نمو 2026 توقع عن 2025</t>
        </is>
      </c>
      <c r="P3" s="4" t="inlineStr">
        <is>
          <t>نمو 2027 (سيناريو النمو الثابت) عن 2026</t>
        </is>
      </c>
      <c r="Q3" s="4" t="inlineStr">
        <is>
          <t>نمو 2027 (سيناريو تاريخي) عن 2026</t>
        </is>
      </c>
      <c r="R3" s="4" t="inlineStr">
        <is>
          <t>تنبيه</t>
        </is>
      </c>
    </row>
    <row r="4">
      <c r="A4" s="5" t="inlineStr">
        <is>
          <t>1438001</t>
        </is>
      </c>
      <c r="B4" s="5" t="inlineStr">
        <is>
          <t>جزاءات و غرامات مفروضة بموجب أنظمة الجهة</t>
        </is>
      </c>
      <c r="C4" s="5" t="inlineStr">
        <is>
          <t>جزاءات وغرامات</t>
        </is>
      </c>
      <c r="D4" s="5" t="inlineStr">
        <is>
          <t>نشط</t>
        </is>
      </c>
      <c r="E4" s="6" t="n">
        <v>804587448.9299999</v>
      </c>
      <c r="F4" s="6" t="n">
        <v>845141122.87</v>
      </c>
      <c r="G4" s="6" t="n">
        <v>995518575.16</v>
      </c>
      <c r="H4" s="6" t="n">
        <v>1065200061.32</v>
      </c>
      <c r="I4" s="6">
        <f>IF(D4="متوقف",0,H4*الافتراضات!$B$4)</f>
        <v/>
      </c>
      <c r="J4" s="6">
        <f>I4*(1+الافتراضات!$B$5)</f>
        <v/>
      </c>
      <c r="K4" s="7">
        <f>IF(D4="متوقف",0,MAX(-الافتراضات!$B$6,MIN(الافتراضات!$B$6,0.112341)))</f>
        <v/>
      </c>
      <c r="L4" s="6">
        <f>I4*(1+K4)</f>
        <v/>
      </c>
      <c r="M4" s="7">
        <f>IF(E4=0,"",F4/E4-1)</f>
        <v/>
      </c>
      <c r="N4" s="7">
        <f>IF(F4=0,"",G4/F4-1)</f>
        <v/>
      </c>
      <c r="O4" s="7">
        <f>IF(G4=0,"",I4/G4-1)</f>
        <v/>
      </c>
      <c r="P4" s="7">
        <f>IF(I4=0,"",J4/I4-1)</f>
        <v/>
      </c>
      <c r="Q4" s="7">
        <f>IF(I4=0,"",L4/I4-1)</f>
        <v/>
      </c>
      <c r="R4" s="5" t="inlineStr"/>
    </row>
    <row r="5">
      <c r="A5" s="5" t="inlineStr">
        <is>
          <t>14155</t>
        </is>
      </c>
      <c r="B5" s="5" t="inlineStr">
        <is>
          <t>ريع الأراضي (تأجير الأراض )</t>
        </is>
      </c>
      <c r="C5" s="5" t="inlineStr">
        <is>
          <t>إيرادات إستثمارية</t>
        </is>
      </c>
      <c r="D5" s="5" t="inlineStr">
        <is>
          <t>نشط</t>
        </is>
      </c>
      <c r="E5" s="6" t="n">
        <v>936026050.89</v>
      </c>
      <c r="F5" s="6" t="n">
        <v>955699643.42</v>
      </c>
      <c r="G5" s="6" t="n">
        <v>827628200.76</v>
      </c>
      <c r="H5" s="6" t="n">
        <v>803599432.03</v>
      </c>
      <c r="I5" s="6">
        <f>IF(D5="متوقف",0,H5*الافتراضات!$B$4)</f>
        <v/>
      </c>
      <c r="J5" s="6">
        <f>I5*(1+الافتراضات!$B$5)</f>
        <v/>
      </c>
      <c r="K5" s="7">
        <f>IF(D5="متوقف",0,MAX(-الافتراضات!$B$6,MIN(الافتراضات!$B$6,-0.059684)))</f>
        <v/>
      </c>
      <c r="L5" s="6">
        <f>I5*(1+K5)</f>
        <v/>
      </c>
      <c r="M5" s="7">
        <f>IF(E5=0,"",F5/E5-1)</f>
        <v/>
      </c>
      <c r="N5" s="7">
        <f>IF(F5=0,"",G5/F5-1)</f>
        <v/>
      </c>
      <c r="O5" s="7">
        <f>IF(G5=0,"",I5/G5-1)</f>
        <v/>
      </c>
      <c r="P5" s="7">
        <f>IF(I5=0,"",J5/I5-1)</f>
        <v/>
      </c>
      <c r="Q5" s="7">
        <f>IF(I5=0,"",L5/I5-1)</f>
        <v/>
      </c>
      <c r="R5" s="5" t="inlineStr"/>
    </row>
    <row r="6">
      <c r="A6" s="5" t="inlineStr">
        <is>
          <t>142113</t>
        </is>
      </c>
      <c r="B6" s="5" t="inlineStr">
        <is>
          <t>ايرادات  اللوحات الدعائية</t>
        </is>
      </c>
      <c r="C6" s="5" t="inlineStr">
        <is>
          <t>الرسوم والتراخيص</t>
        </is>
      </c>
      <c r="D6" s="5" t="inlineStr">
        <is>
          <t>نشط</t>
        </is>
      </c>
      <c r="E6" s="6" t="n">
        <v>175067949.66</v>
      </c>
      <c r="F6" s="6" t="n">
        <v>680268322.89</v>
      </c>
      <c r="G6" s="6" t="n">
        <v>1056157712.68</v>
      </c>
      <c r="H6" s="6" t="n">
        <v>126475270.21</v>
      </c>
      <c r="I6" s="6">
        <f>IF(D6="متوقف",0,H6*الافتراضات!$B$4)</f>
        <v/>
      </c>
      <c r="J6" s="6">
        <f>I6*(1+الافتراضات!$B$5)</f>
        <v/>
      </c>
      <c r="K6" s="7">
        <f>IF(D6="متوقف",0,MAX(-الافتراضات!$B$6,MIN(الافتراضات!$B$6,1.456185)))</f>
        <v/>
      </c>
      <c r="L6" s="6">
        <f>I6*(1+K6)</f>
        <v/>
      </c>
      <c r="M6" s="7">
        <f>IF(E6=0,"",F6/E6-1)</f>
        <v/>
      </c>
      <c r="N6" s="7">
        <f>IF(F6=0,"",G6/F6-1)</f>
        <v/>
      </c>
      <c r="O6" s="7">
        <f>IF(G6=0,"",I6/G6-1)</f>
        <v/>
      </c>
      <c r="P6" s="7">
        <f>IF(I6=0,"",J6/I6-1)</f>
        <v/>
      </c>
      <c r="Q6" s="7">
        <f>IF(I6=0,"",L6/I6-1)</f>
        <v/>
      </c>
      <c r="R6" s="5" t="inlineStr">
        <is>
          <t>تذبذب عالٍ – راجع التوقع</t>
        </is>
      </c>
    </row>
    <row r="7">
      <c r="A7" s="5" t="inlineStr">
        <is>
          <t>11452104</t>
        </is>
      </c>
      <c r="B7" s="5" t="inlineStr">
        <is>
          <t>إصدار رخص الأنشطة التجارية</t>
        </is>
      </c>
      <c r="C7" s="5" t="inlineStr">
        <is>
          <t>الرسوم والتراخيص</t>
        </is>
      </c>
      <c r="D7" s="5" t="inlineStr">
        <is>
          <t>نشط</t>
        </is>
      </c>
      <c r="E7" s="6" t="n">
        <v>281304013.86</v>
      </c>
      <c r="F7" s="6" t="n">
        <v>309024665.19</v>
      </c>
      <c r="G7" s="6" t="n">
        <v>287055889.18</v>
      </c>
      <c r="H7" s="6" t="n">
        <v>266305026.42</v>
      </c>
      <c r="I7" s="6">
        <f>IF(D7="متوقف",0,H7*الافتراضات!$B$4)</f>
        <v/>
      </c>
      <c r="J7" s="6">
        <f>I7*(1+الافتراضات!$B$5)</f>
        <v/>
      </c>
      <c r="K7" s="7">
        <f>IF(D7="متوقف",0,MAX(-الافتراضات!$B$6,MIN(الافتراضات!$B$6,0.010172)))</f>
        <v/>
      </c>
      <c r="L7" s="6">
        <f>I7*(1+K7)</f>
        <v/>
      </c>
      <c r="M7" s="7">
        <f>IF(E7=0,"",F7/E7-1)</f>
        <v/>
      </c>
      <c r="N7" s="7">
        <f>IF(F7=0,"",G7/F7-1)</f>
        <v/>
      </c>
      <c r="O7" s="7">
        <f>IF(G7=0,"",I7/G7-1)</f>
        <v/>
      </c>
      <c r="P7" s="7">
        <f>IF(I7=0,"",J7/I7-1)</f>
        <v/>
      </c>
      <c r="Q7" s="7">
        <f>IF(I7=0,"",L7/I7-1)</f>
        <v/>
      </c>
      <c r="R7" s="5" t="inlineStr"/>
    </row>
    <row r="8">
      <c r="A8" s="5" t="inlineStr">
        <is>
          <t>11452103</t>
        </is>
      </c>
      <c r="B8" s="5" t="inlineStr">
        <is>
          <t>ايراد اصدار تراخيص المباني والاسوار - أمانة منطقة الرياض</t>
        </is>
      </c>
      <c r="C8" s="5" t="inlineStr">
        <is>
          <t>الرسوم والتراخيص</t>
        </is>
      </c>
      <c r="D8" s="5" t="inlineStr">
        <is>
          <t>نشط</t>
        </is>
      </c>
      <c r="E8" s="6" t="n">
        <v>228673081.75</v>
      </c>
      <c r="F8" s="6" t="n">
        <v>257318897.94</v>
      </c>
      <c r="G8" s="6" t="n">
        <v>321860357.23</v>
      </c>
      <c r="H8" s="6" t="n">
        <v>206131241.55</v>
      </c>
      <c r="I8" s="6">
        <f>IF(D8="متوقف",0,H8*الافتراضات!$B$4)</f>
        <v/>
      </c>
      <c r="J8" s="6">
        <f>I8*(1+الافتراضات!$B$5)</f>
        <v/>
      </c>
      <c r="K8" s="7">
        <f>IF(D8="متوقف",0,MAX(-الافتراضات!$B$6,MIN(الافتراضات!$B$6,0.186387)))</f>
        <v/>
      </c>
      <c r="L8" s="6">
        <f>I8*(1+K8)</f>
        <v/>
      </c>
      <c r="M8" s="7">
        <f>IF(E8=0,"",F8/E8-1)</f>
        <v/>
      </c>
      <c r="N8" s="7">
        <f>IF(F8=0,"",G8/F8-1)</f>
        <v/>
      </c>
      <c r="O8" s="7">
        <f>IF(G8=0,"",I8/G8-1)</f>
        <v/>
      </c>
      <c r="P8" s="7">
        <f>IF(I8=0,"",J8/I8-1)</f>
        <v/>
      </c>
      <c r="Q8" s="7">
        <f>IF(I8=0,"",L8/I8-1)</f>
        <v/>
      </c>
      <c r="R8" s="5" t="inlineStr"/>
    </row>
    <row r="9">
      <c r="A9" s="5" t="inlineStr">
        <is>
          <t>11452512</t>
        </is>
      </c>
      <c r="B9" s="5" t="inlineStr">
        <is>
          <t>ايرادات لوحات المحلات</t>
        </is>
      </c>
      <c r="C9" s="5" t="inlineStr">
        <is>
          <t>الرسوم والتراخيص</t>
        </is>
      </c>
      <c r="D9" s="5" t="inlineStr">
        <is>
          <t>نشط</t>
        </is>
      </c>
      <c r="E9" s="6" t="n">
        <v>239067590</v>
      </c>
      <c r="F9" s="6" t="n">
        <v>249350690</v>
      </c>
      <c r="G9" s="6" t="n">
        <v>210632056.99</v>
      </c>
      <c r="H9" s="6" t="n">
        <v>187729029.22</v>
      </c>
      <c r="I9" s="6">
        <f>IF(D9="متوقف",0,H9*الافتراضات!$B$4)</f>
        <v/>
      </c>
      <c r="J9" s="6">
        <f>I9*(1+الافتراضات!$B$5)</f>
        <v/>
      </c>
      <c r="K9" s="7">
        <f>IF(D9="متوقف",0,MAX(-الافتراضات!$B$6,MIN(الافتراضات!$B$6,-0.061354)))</f>
        <v/>
      </c>
      <c r="L9" s="6">
        <f>I9*(1+K9)</f>
        <v/>
      </c>
      <c r="M9" s="7">
        <f>IF(E9=0,"",F9/E9-1)</f>
        <v/>
      </c>
      <c r="N9" s="7">
        <f>IF(F9=0,"",G9/F9-1)</f>
        <v/>
      </c>
      <c r="O9" s="7">
        <f>IF(G9=0,"",I9/G9-1)</f>
        <v/>
      </c>
      <c r="P9" s="7">
        <f>IF(I9=0,"",J9/I9-1)</f>
        <v/>
      </c>
      <c r="Q9" s="7">
        <f>IF(I9=0,"",L9/I9-1)</f>
        <v/>
      </c>
      <c r="R9" s="5" t="inlineStr"/>
    </row>
    <row r="10">
      <c r="A10" s="5" t="inlineStr">
        <is>
          <t>11442</t>
        </is>
      </c>
      <c r="B10" s="5" t="inlineStr">
        <is>
          <t>اشغال مرافق الايواء</t>
        </is>
      </c>
      <c r="C10" s="5" t="inlineStr">
        <is>
          <t>التبغ والإيواء</t>
        </is>
      </c>
      <c r="D10" s="5" t="inlineStr">
        <is>
          <t>نشط</t>
        </is>
      </c>
      <c r="E10" s="6" t="n">
        <v>231729928.67</v>
      </c>
      <c r="F10" s="6" t="n">
        <v>276571524.98</v>
      </c>
      <c r="G10" s="6" t="n">
        <v>221032165.06</v>
      </c>
      <c r="H10" s="6" t="n">
        <v>156682947.06</v>
      </c>
      <c r="I10" s="6">
        <f>IF(D10="متوقف",0,H10*الافتراضات!$B$4)</f>
        <v/>
      </c>
      <c r="J10" s="6">
        <f>I10*(1+الافتراضات!$B$5)</f>
        <v/>
      </c>
      <c r="K10" s="7">
        <f>IF(D10="متوقف",0,MAX(-الافتراضات!$B$6,MIN(الافتراضات!$B$6,-0.023355)))</f>
        <v/>
      </c>
      <c r="L10" s="6">
        <f>I10*(1+K10)</f>
        <v/>
      </c>
      <c r="M10" s="7">
        <f>IF(E10=0,"",F10/E10-1)</f>
        <v/>
      </c>
      <c r="N10" s="7">
        <f>IF(F10=0,"",G10/F10-1)</f>
        <v/>
      </c>
      <c r="O10" s="7">
        <f>IF(G10=0,"",I10/G10-1)</f>
        <v/>
      </c>
      <c r="P10" s="7">
        <f>IF(I10=0,"",J10/I10-1)</f>
        <v/>
      </c>
      <c r="Q10" s="7">
        <f>IF(I10=0,"",L10/I10-1)</f>
        <v/>
      </c>
      <c r="R10" s="5" t="inlineStr"/>
    </row>
    <row r="11">
      <c r="A11" s="5" t="inlineStr">
        <is>
          <t>142162</t>
        </is>
      </c>
      <c r="B11" s="5" t="inlineStr">
        <is>
          <t>إيرادات  تأجير المرافق</t>
        </is>
      </c>
      <c r="C11" s="5" t="inlineStr">
        <is>
          <t>إيرادات إستثمارية</t>
        </is>
      </c>
      <c r="D11" s="5" t="inlineStr">
        <is>
          <t>نشط</t>
        </is>
      </c>
      <c r="E11" s="6" t="n">
        <v>33614410.92</v>
      </c>
      <c r="F11" s="6" t="n">
        <v>53697027.64</v>
      </c>
      <c r="G11" s="6" t="n">
        <v>35072726.35</v>
      </c>
      <c r="H11" s="6" t="n">
        <v>430765503.41</v>
      </c>
      <c r="I11" s="6">
        <f>IF(D11="متوقف",0,H11*الافتراضات!$B$4)</f>
        <v/>
      </c>
      <c r="J11" s="6">
        <f>I11*(1+الافتراضات!$B$5)</f>
        <v/>
      </c>
      <c r="K11" s="7">
        <f>IF(D11="متوقف",0,MAX(-الافتراضات!$B$6,MIN(الافتراضات!$B$6,0.021462)))</f>
        <v/>
      </c>
      <c r="L11" s="6">
        <f>I11*(1+K11)</f>
        <v/>
      </c>
      <c r="M11" s="7">
        <f>IF(E11=0,"",F11/E11-1)</f>
        <v/>
      </c>
      <c r="N11" s="7">
        <f>IF(F11=0,"",G11/F11-1)</f>
        <v/>
      </c>
      <c r="O11" s="7">
        <f>IF(G11=0,"",I11/G11-1)</f>
        <v/>
      </c>
      <c r="P11" s="7">
        <f>IF(I11=0,"",J11/I11-1)</f>
        <v/>
      </c>
      <c r="Q11" s="7">
        <f>IF(I11=0,"",L11/I11-1)</f>
        <v/>
      </c>
      <c r="R11" s="5" t="inlineStr">
        <is>
          <t>تذبذب عالٍ – راجع التوقع</t>
        </is>
      </c>
    </row>
    <row r="12">
      <c r="A12" s="5" t="inlineStr">
        <is>
          <t>1421999</t>
        </is>
      </c>
      <c r="B12" s="5" t="inlineStr">
        <is>
          <t>مبيعات أخرى</t>
        </is>
      </c>
      <c r="C12" s="5" t="inlineStr">
        <is>
          <t>أخرى</t>
        </is>
      </c>
      <c r="D12" s="5" t="inlineStr">
        <is>
          <t>نشط</t>
        </is>
      </c>
      <c r="E12" s="6" t="n">
        <v>152401119.12</v>
      </c>
      <c r="F12" s="6" t="n">
        <v>166749759.29</v>
      </c>
      <c r="G12" s="6" t="n">
        <v>73660918.12</v>
      </c>
      <c r="H12" s="6" t="n">
        <v>147700656.12</v>
      </c>
      <c r="I12" s="6">
        <f>IF(D12="متوقف",0,H12*الافتراضات!$B$4)</f>
        <v/>
      </c>
      <c r="J12" s="6">
        <f>I12*(1+الافتراضات!$B$5)</f>
        <v/>
      </c>
      <c r="K12" s="7">
        <f>IF(D12="متوقف",0,MAX(-الافتراضات!$B$6,MIN(الافتراضات!$B$6,-0.304776)))</f>
        <v/>
      </c>
      <c r="L12" s="6">
        <f>I12*(1+K12)</f>
        <v/>
      </c>
      <c r="M12" s="7">
        <f>IF(E12=0,"",F12/E12-1)</f>
        <v/>
      </c>
      <c r="N12" s="7">
        <f>IF(F12=0,"",G12/F12-1)</f>
        <v/>
      </c>
      <c r="O12" s="7">
        <f>IF(G12=0,"",I12/G12-1)</f>
        <v/>
      </c>
      <c r="P12" s="7">
        <f>IF(I12=0,"",J12/I12-1)</f>
        <v/>
      </c>
      <c r="Q12" s="7">
        <f>IF(I12=0,"",L12/I12-1)</f>
        <v/>
      </c>
      <c r="R12" s="5" t="inlineStr">
        <is>
          <t>تذبذب عالٍ – راجع التوقع</t>
        </is>
      </c>
    </row>
    <row r="13">
      <c r="A13" s="5" t="inlineStr">
        <is>
          <t>144122</t>
        </is>
      </c>
      <c r="B13" s="5" t="inlineStr">
        <is>
          <t>إيرادات  متنوعه</t>
        </is>
      </c>
      <c r="C13" s="5" t="inlineStr">
        <is>
          <t>أخرى</t>
        </is>
      </c>
      <c r="D13" s="5" t="inlineStr">
        <is>
          <t>نشط</t>
        </is>
      </c>
      <c r="E13" s="6" t="n">
        <v>9941900.57</v>
      </c>
      <c r="F13" s="6" t="n">
        <v>14133817.21</v>
      </c>
      <c r="G13" s="6" t="n">
        <v>80747739.2</v>
      </c>
      <c r="H13" s="6" t="n">
        <v>316496963.26</v>
      </c>
      <c r="I13" s="6">
        <f>IF(D13="متوقف",0,H13*الافتراضات!$B$4)</f>
        <v/>
      </c>
      <c r="J13" s="6">
        <f>I13*(1+الافتراضات!$B$5)</f>
        <v/>
      </c>
      <c r="K13" s="7">
        <f>IF(D13="متوقف",0,MAX(-الافتراضات!$B$6,MIN(الافتراضات!$B$6,1.849906)))</f>
        <v/>
      </c>
      <c r="L13" s="6">
        <f>I13*(1+K13)</f>
        <v/>
      </c>
      <c r="M13" s="7">
        <f>IF(E13=0,"",F13/E13-1)</f>
        <v/>
      </c>
      <c r="N13" s="7">
        <f>IF(F13=0,"",G13/F13-1)</f>
        <v/>
      </c>
      <c r="O13" s="7">
        <f>IF(G13=0,"",I13/G13-1)</f>
        <v/>
      </c>
      <c r="P13" s="7">
        <f>IF(I13=0,"",J13/I13-1)</f>
        <v/>
      </c>
      <c r="Q13" s="7">
        <f>IF(I13=0,"",L13/I13-1)</f>
        <v/>
      </c>
      <c r="R13" s="5" t="inlineStr">
        <is>
          <t>تذبذب عالٍ – راجع التوقع</t>
        </is>
      </c>
    </row>
    <row r="14">
      <c r="A14" s="5" t="inlineStr">
        <is>
          <t>1421911</t>
        </is>
      </c>
      <c r="B14" s="5" t="inlineStr">
        <is>
          <t>رسم مبيعات محلات تقديم منتجات التبغ</t>
        </is>
      </c>
      <c r="C14" s="5" t="inlineStr">
        <is>
          <t>التبغ والإيواء</t>
        </is>
      </c>
      <c r="D14" s="5" t="inlineStr">
        <is>
          <t>نشط</t>
        </is>
      </c>
      <c r="E14" s="6" t="n">
        <v>75066033.04000001</v>
      </c>
      <c r="F14" s="6" t="n">
        <v>142202773.54</v>
      </c>
      <c r="G14" s="6" t="n">
        <v>105455179.58</v>
      </c>
      <c r="H14" s="6" t="n">
        <v>80723092.94</v>
      </c>
      <c r="I14" s="6">
        <f>IF(D14="متوقف",0,H14*الافتراضات!$B$4)</f>
        <v/>
      </c>
      <c r="J14" s="6">
        <f>I14*(1+الافتراضات!$B$5)</f>
        <v/>
      </c>
      <c r="K14" s="7">
        <f>IF(D14="متوقف",0,MAX(-الافتراضات!$B$6,MIN(الافتراضات!$B$6,0.185256)))</f>
        <v/>
      </c>
      <c r="L14" s="6">
        <f>I14*(1+K14)</f>
        <v/>
      </c>
      <c r="M14" s="7">
        <f>IF(E14=0,"",F14/E14-1)</f>
        <v/>
      </c>
      <c r="N14" s="7">
        <f>IF(F14=0,"",G14/F14-1)</f>
        <v/>
      </c>
      <c r="O14" s="7">
        <f>IF(G14=0,"",I14/G14-1)</f>
        <v/>
      </c>
      <c r="P14" s="7">
        <f>IF(I14=0,"",J14/I14-1)</f>
        <v/>
      </c>
      <c r="Q14" s="7">
        <f>IF(I14=0,"",L14/I14-1)</f>
        <v/>
      </c>
      <c r="R14" s="5" t="inlineStr"/>
    </row>
    <row r="15">
      <c r="A15" s="5" t="inlineStr">
        <is>
          <t>1421909</t>
        </is>
      </c>
      <c r="B15" s="5" t="inlineStr">
        <is>
          <t>جمع النفايات</t>
        </is>
      </c>
      <c r="C15" s="5" t="inlineStr">
        <is>
          <t>الرسوم والتراخيص</t>
        </is>
      </c>
      <c r="D15" s="5" t="inlineStr">
        <is>
          <t>نشط</t>
        </is>
      </c>
      <c r="E15" s="6" t="n">
        <v>83027851.53</v>
      </c>
      <c r="F15" s="6" t="n">
        <v>89269940.62</v>
      </c>
      <c r="G15" s="6" t="n">
        <v>80988493.83</v>
      </c>
      <c r="H15" s="6" t="n">
        <v>79213506.2</v>
      </c>
      <c r="I15" s="6">
        <f>IF(D15="متوقف",0,H15*الافتراضات!$B$4)</f>
        <v/>
      </c>
      <c r="J15" s="6">
        <f>I15*(1+الافتراضات!$B$5)</f>
        <v/>
      </c>
      <c r="K15" s="7">
        <f>IF(D15="متوقف",0,MAX(-الافتراضات!$B$6,MIN(الافتراضات!$B$6,-0.012358)))</f>
        <v/>
      </c>
      <c r="L15" s="6">
        <f>I15*(1+K15)</f>
        <v/>
      </c>
      <c r="M15" s="7">
        <f>IF(E15=0,"",F15/E15-1)</f>
        <v/>
      </c>
      <c r="N15" s="7">
        <f>IF(F15=0,"",G15/F15-1)</f>
        <v/>
      </c>
      <c r="O15" s="7">
        <f>IF(G15=0,"",I15/G15-1)</f>
        <v/>
      </c>
      <c r="P15" s="7">
        <f>IF(I15=0,"",J15/I15-1)</f>
        <v/>
      </c>
      <c r="Q15" s="7">
        <f>IF(I15=0,"",L15/I15-1)</f>
        <v/>
      </c>
      <c r="R15" s="5" t="inlineStr"/>
    </row>
    <row r="16">
      <c r="A16" s="5" t="inlineStr">
        <is>
          <t>11452105</t>
        </is>
      </c>
      <c r="B16" s="5" t="inlineStr">
        <is>
          <t>رسوم تراخيص حفر الشوارع</t>
        </is>
      </c>
      <c r="C16" s="5" t="inlineStr">
        <is>
          <t>الرسوم والتراخيص</t>
        </is>
      </c>
      <c r="D16" s="5" t="inlineStr">
        <is>
          <t>نشط</t>
        </is>
      </c>
      <c r="E16" s="6" t="n">
        <v>66884899.97</v>
      </c>
      <c r="F16" s="6" t="n">
        <v>65467285.9</v>
      </c>
      <c r="G16" s="6" t="n">
        <v>634736.47</v>
      </c>
      <c r="H16" s="6" t="n">
        <v>1350</v>
      </c>
      <c r="I16" s="6">
        <f>IF(D16="متوقف",0,H16*الافتراضات!$B$4)</f>
        <v/>
      </c>
      <c r="J16" s="6">
        <f>I16*(1+الافتراضات!$B$5)</f>
        <v/>
      </c>
      <c r="K16" s="7">
        <f>IF(D16="متوقف",0,MAX(-الافتراضات!$B$6,MIN(الافتراضات!$B$6,-0.902583)))</f>
        <v/>
      </c>
      <c r="L16" s="6">
        <f>I16*(1+K16)</f>
        <v/>
      </c>
      <c r="M16" s="7">
        <f>IF(E16=0,"",F16/E16-1)</f>
        <v/>
      </c>
      <c r="N16" s="7">
        <f>IF(F16=0,"",G16/F16-1)</f>
        <v/>
      </c>
      <c r="O16" s="7">
        <f>IF(G16=0,"",I16/G16-1)</f>
        <v/>
      </c>
      <c r="P16" s="7">
        <f>IF(I16=0,"",J16/I16-1)</f>
        <v/>
      </c>
      <c r="Q16" s="7">
        <f>IF(I16=0,"",L16/I16-1)</f>
        <v/>
      </c>
      <c r="R16" s="5" t="inlineStr"/>
    </row>
    <row r="17">
      <c r="A17" s="5" t="inlineStr">
        <is>
          <t>11452108</t>
        </is>
      </c>
      <c r="B17" s="5" t="inlineStr">
        <is>
          <t>ايراد اصدار القرارات المساحية - أمانة منطقة الرياض</t>
        </is>
      </c>
      <c r="C17" s="5" t="inlineStr">
        <is>
          <t>الرسوم والتراخيص</t>
        </is>
      </c>
      <c r="D17" s="5" t="inlineStr">
        <is>
          <t>نشط</t>
        </is>
      </c>
      <c r="E17" s="6" t="n">
        <v>4422269.64</v>
      </c>
      <c r="F17" s="6" t="n">
        <v>19704385.4</v>
      </c>
      <c r="G17" s="6" t="n">
        <v>26909388.87</v>
      </c>
      <c r="H17" s="6" t="n">
        <v>34133807.25</v>
      </c>
      <c r="I17" s="6">
        <f>IF(D17="متوقف",0,H17*الافتراضات!$B$4)</f>
        <v/>
      </c>
      <c r="J17" s="6">
        <f>I17*(1+الافتراضات!$B$5)</f>
        <v/>
      </c>
      <c r="K17" s="7">
        <f>IF(D17="متوقف",0,MAX(-الافتراضات!$B$6,MIN(الافتراضات!$B$6,1.466774)))</f>
        <v/>
      </c>
      <c r="L17" s="6">
        <f>I17*(1+K17)</f>
        <v/>
      </c>
      <c r="M17" s="7">
        <f>IF(E17=0,"",F17/E17-1)</f>
        <v/>
      </c>
      <c r="N17" s="7">
        <f>IF(F17=0,"",G17/F17-1)</f>
        <v/>
      </c>
      <c r="O17" s="7">
        <f>IF(G17=0,"",I17/G17-1)</f>
        <v/>
      </c>
      <c r="P17" s="7">
        <f>IF(I17=0,"",J17/I17-1)</f>
        <v/>
      </c>
      <c r="Q17" s="7">
        <f>IF(I17=0,"",L17/I17-1)</f>
        <v/>
      </c>
      <c r="R17" s="5" t="inlineStr"/>
    </row>
    <row r="18">
      <c r="A18" s="5" t="inlineStr">
        <is>
          <t>1422108</t>
        </is>
      </c>
      <c r="B18" s="5" t="inlineStr">
        <is>
          <t>الشهادات الصحية</t>
        </is>
      </c>
      <c r="C18" s="5" t="inlineStr">
        <is>
          <t>الرسوم والتراخيص</t>
        </is>
      </c>
      <c r="D18" s="5" t="inlineStr">
        <is>
          <t>نشط</t>
        </is>
      </c>
      <c r="E18" s="6" t="n">
        <v>21268656.03</v>
      </c>
      <c r="F18" s="6" t="n">
        <v>13869671.08</v>
      </c>
      <c r="G18" s="6" t="n">
        <v>26299399.74</v>
      </c>
      <c r="H18" s="6" t="n">
        <v>21634358.52</v>
      </c>
      <c r="I18" s="6">
        <f>IF(D18="متوقف",0,H18*الافتراضات!$B$4)</f>
        <v/>
      </c>
      <c r="J18" s="6">
        <f>I18*(1+الافتراضات!$B$5)</f>
        <v/>
      </c>
      <c r="K18" s="7">
        <f>IF(D18="متوقف",0,MAX(-الافتراضات!$B$6,MIN(الافتراضات!$B$6,0.111995)))</f>
        <v/>
      </c>
      <c r="L18" s="6">
        <f>I18*(1+K18)</f>
        <v/>
      </c>
      <c r="M18" s="7">
        <f>IF(E18=0,"",F18/E18-1)</f>
        <v/>
      </c>
      <c r="N18" s="7">
        <f>IF(F18=0,"",G18/F18-1)</f>
        <v/>
      </c>
      <c r="O18" s="7">
        <f>IF(G18=0,"",I18/G18-1)</f>
        <v/>
      </c>
      <c r="P18" s="7">
        <f>IF(I18=0,"",J18/I18-1)</f>
        <v/>
      </c>
      <c r="Q18" s="7">
        <f>IF(I18=0,"",L18/I18-1)</f>
        <v/>
      </c>
      <c r="R18" s="5" t="inlineStr"/>
    </row>
    <row r="19">
      <c r="A19" s="5" t="inlineStr">
        <is>
          <t>1422121</t>
        </is>
      </c>
      <c r="B19" s="5" t="inlineStr">
        <is>
          <t>رسم ترخيص نشاط تقديم منتجات التبغ</t>
        </is>
      </c>
      <c r="C19" s="5" t="inlineStr">
        <is>
          <t>التبغ والإيواء</t>
        </is>
      </c>
      <c r="D19" s="5" t="inlineStr">
        <is>
          <t>نشط</t>
        </is>
      </c>
      <c r="E19" s="6" t="n">
        <v>16987800</v>
      </c>
      <c r="F19" s="6" t="n">
        <v>18210000</v>
      </c>
      <c r="G19" s="6" t="n">
        <v>16212478.8</v>
      </c>
      <c r="H19" s="6" t="n">
        <v>14308008.01</v>
      </c>
      <c r="I19" s="6">
        <f>IF(D19="متوقف",0,H19*الافتراضات!$B$4)</f>
        <v/>
      </c>
      <c r="J19" s="6">
        <f>I19*(1+الافتراضات!$B$5)</f>
        <v/>
      </c>
      <c r="K19" s="7">
        <f>IF(D19="متوقف",0,MAX(-الافتراضات!$B$6,MIN(الافتراضات!$B$6,-0.023086)))</f>
        <v/>
      </c>
      <c r="L19" s="6">
        <f>I19*(1+K19)</f>
        <v/>
      </c>
      <c r="M19" s="7">
        <f>IF(E19=0,"",F19/E19-1)</f>
        <v/>
      </c>
      <c r="N19" s="7">
        <f>IF(F19=0,"",G19/F19-1)</f>
        <v/>
      </c>
      <c r="O19" s="7">
        <f>IF(G19=0,"",I19/G19-1)</f>
        <v/>
      </c>
      <c r="P19" s="7">
        <f>IF(I19=0,"",J19/I19-1)</f>
        <v/>
      </c>
      <c r="Q19" s="7">
        <f>IF(I19=0,"",L19/I19-1)</f>
        <v/>
      </c>
      <c r="R19" s="5" t="inlineStr"/>
    </row>
    <row r="20">
      <c r="A20" s="5" t="inlineStr">
        <is>
          <t>بدون رقم</t>
        </is>
      </c>
      <c r="B20" s="5" t="inlineStr">
        <is>
          <t>بدون رقم (خدمات علم + جزاءات)</t>
        </is>
      </c>
      <c r="C20" s="5" t="inlineStr">
        <is>
          <t>علم / جزاءات</t>
        </is>
      </c>
      <c r="D20" s="5" t="inlineStr">
        <is>
          <t>نشط</t>
        </is>
      </c>
      <c r="E20" s="6" t="n">
        <v>4860068.75</v>
      </c>
      <c r="F20" s="6" t="n">
        <v>14420133.75</v>
      </c>
      <c r="G20" s="6" t="n">
        <v>22037760</v>
      </c>
      <c r="H20" s="6" t="n">
        <v>21837837.5</v>
      </c>
      <c r="I20" s="6">
        <f>IF(D20="متوقف",0,H20*الافتراضات!$B$4)</f>
        <v/>
      </c>
      <c r="J20" s="6">
        <f>I20*(1+الافتراضات!$B$5)</f>
        <v/>
      </c>
      <c r="K20" s="7">
        <f>IF(D20="متوقف",0,MAX(-الافتراضات!$B$6,MIN(الافتراضات!$B$6,1.129426)))</f>
        <v/>
      </c>
      <c r="L20" s="6">
        <f>I20*(1+K20)</f>
        <v/>
      </c>
      <c r="M20" s="7">
        <f>IF(E20=0,"",F20/E20-1)</f>
        <v/>
      </c>
      <c r="N20" s="7">
        <f>IF(F20=0,"",G20/F20-1)</f>
        <v/>
      </c>
      <c r="O20" s="7">
        <f>IF(G20=0,"",I20/G20-1)</f>
        <v/>
      </c>
      <c r="P20" s="7">
        <f>IF(I20=0,"",J20/I20-1)</f>
        <v/>
      </c>
      <c r="Q20" s="7">
        <f>IF(I20=0,"",L20/I20-1)</f>
        <v/>
      </c>
      <c r="R20" s="5" t="inlineStr"/>
    </row>
    <row r="21">
      <c r="A21" s="5" t="inlineStr">
        <is>
          <t>142163</t>
        </is>
      </c>
      <c r="B21" s="5" t="inlineStr">
        <is>
          <t>إيرادات  تأجير مباني تجارية</t>
        </is>
      </c>
      <c r="C21" s="5" t="inlineStr">
        <is>
          <t>إيرادات إستثمارية</t>
        </is>
      </c>
      <c r="D21" s="5" t="inlineStr">
        <is>
          <t>نشط</t>
        </is>
      </c>
      <c r="E21" s="6" t="n">
        <v>9048255.93</v>
      </c>
      <c r="F21" s="6" t="n">
        <v>7544256.25</v>
      </c>
      <c r="G21" s="6" t="n">
        <v>4918746.75</v>
      </c>
      <c r="H21" s="6" t="n">
        <v>12310614.76</v>
      </c>
      <c r="I21" s="6">
        <f>IF(D21="متوقف",0,H21*الافتراضات!$B$4)</f>
        <v/>
      </c>
      <c r="J21" s="6">
        <f>I21*(1+الافتراضات!$B$5)</f>
        <v/>
      </c>
      <c r="K21" s="7">
        <f>IF(D21="متوقف",0,MAX(-الافتراضات!$B$6,MIN(الافتراضات!$B$6,-0.262699)))</f>
        <v/>
      </c>
      <c r="L21" s="6">
        <f>I21*(1+K21)</f>
        <v/>
      </c>
      <c r="M21" s="7">
        <f>IF(E21=0,"",F21/E21-1)</f>
        <v/>
      </c>
      <c r="N21" s="7">
        <f>IF(F21=0,"",G21/F21-1)</f>
        <v/>
      </c>
      <c r="O21" s="7">
        <f>IF(G21=0,"",I21/G21-1)</f>
        <v/>
      </c>
      <c r="P21" s="7">
        <f>IF(I21=0,"",J21/I21-1)</f>
        <v/>
      </c>
      <c r="Q21" s="7">
        <f>IF(I21=0,"",L21/I21-1)</f>
        <v/>
      </c>
      <c r="R21" s="5" t="inlineStr">
        <is>
          <t>تذبذب عالٍ – راجع التوقع</t>
        </is>
      </c>
    </row>
    <row r="22">
      <c r="A22" s="5" t="inlineStr">
        <is>
          <t>1422109</t>
        </is>
      </c>
      <c r="B22" s="5" t="inlineStr">
        <is>
          <t>ايرادات  الكشفية</t>
        </is>
      </c>
      <c r="C22" s="5" t="inlineStr">
        <is>
          <t>الرسوم والتراخيص</t>
        </is>
      </c>
      <c r="D22" s="5" t="inlineStr">
        <is>
          <t>نشط</t>
        </is>
      </c>
      <c r="E22" s="6" t="n">
        <v>9597160.08</v>
      </c>
      <c r="F22" s="6" t="n">
        <v>9593369.65</v>
      </c>
      <c r="G22" s="6" t="n">
        <v>7704211.79</v>
      </c>
      <c r="H22" s="6" t="n">
        <v>6331998.45</v>
      </c>
      <c r="I22" s="6">
        <f>IF(D22="متوقف",0,H22*الافتراضات!$B$4)</f>
        <v/>
      </c>
      <c r="J22" s="6">
        <f>I22*(1+الافتراضات!$B$5)</f>
        <v/>
      </c>
      <c r="K22" s="7">
        <f>IF(D22="متوقف",0,MAX(-الافتراضات!$B$6,MIN(الافتراضات!$B$6,-0.104032)))</f>
        <v/>
      </c>
      <c r="L22" s="6">
        <f>I22*(1+K22)</f>
        <v/>
      </c>
      <c r="M22" s="7">
        <f>IF(E22=0,"",F22/E22-1)</f>
        <v/>
      </c>
      <c r="N22" s="7">
        <f>IF(F22=0,"",G22/F22-1)</f>
        <v/>
      </c>
      <c r="O22" s="7">
        <f>IF(G22=0,"",I22/G22-1)</f>
        <v/>
      </c>
      <c r="P22" s="7">
        <f>IF(I22=0,"",J22/I22-1)</f>
        <v/>
      </c>
      <c r="Q22" s="7">
        <f>IF(I22=0,"",L22/I22-1)</f>
        <v/>
      </c>
      <c r="R22" s="5" t="inlineStr"/>
    </row>
    <row r="23">
      <c r="A23" s="5" t="inlineStr">
        <is>
          <t>11452111</t>
        </is>
      </c>
      <c r="B23" s="5" t="inlineStr">
        <is>
          <t>المقابل المالي للسماح للأنشطة التجارية بالعمل (24) ساعة</t>
        </is>
      </c>
      <c r="C23" s="5" t="inlineStr">
        <is>
          <t>الرسوم والتراخيص</t>
        </is>
      </c>
      <c r="D23" s="5" t="inlineStr">
        <is>
          <t>نشط</t>
        </is>
      </c>
      <c r="E23" s="6" t="n">
        <v>6077736.7</v>
      </c>
      <c r="F23" s="6" t="n">
        <v>5228065.19</v>
      </c>
      <c r="G23" s="6" t="n">
        <v>6051210.16</v>
      </c>
      <c r="H23" s="6" t="n">
        <v>12106223.42</v>
      </c>
      <c r="I23" s="6">
        <f>IF(D23="متوقف",0,H23*الافتراضات!$B$4)</f>
        <v/>
      </c>
      <c r="J23" s="6">
        <f>I23*(1+الافتراضات!$B$5)</f>
        <v/>
      </c>
      <c r="K23" s="7">
        <f>IF(D23="متوقف",0,MAX(-الافتراضات!$B$6,MIN(الافتراضات!$B$6,-0.002185)))</f>
        <v/>
      </c>
      <c r="L23" s="6">
        <f>I23*(1+K23)</f>
        <v/>
      </c>
      <c r="M23" s="7">
        <f>IF(E23=0,"",F23/E23-1)</f>
        <v/>
      </c>
      <c r="N23" s="7">
        <f>IF(F23=0,"",G23/F23-1)</f>
        <v/>
      </c>
      <c r="O23" s="7">
        <f>IF(G23=0,"",I23/G23-1)</f>
        <v/>
      </c>
      <c r="P23" s="7">
        <f>IF(I23=0,"",J23/I23-1)</f>
        <v/>
      </c>
      <c r="Q23" s="7">
        <f>IF(I23=0,"",L23/I23-1)</f>
        <v/>
      </c>
      <c r="R23" s="5" t="inlineStr">
        <is>
          <t>تذبذب عالٍ – راجع التوقع</t>
        </is>
      </c>
    </row>
    <row r="24">
      <c r="A24" s="5" t="inlineStr">
        <is>
          <t>1421910</t>
        </is>
      </c>
      <c r="B24" s="5" t="inlineStr">
        <is>
          <t>اصدار تراخيص اشغال الارصفة العامة و الطرق</t>
        </is>
      </c>
      <c r="C24" s="5" t="inlineStr">
        <is>
          <t>الرسوم والتراخيص</t>
        </is>
      </c>
      <c r="D24" s="5" t="inlineStr">
        <is>
          <t>نشط</t>
        </is>
      </c>
      <c r="E24" s="6" t="n">
        <v>3853581.36</v>
      </c>
      <c r="F24" s="6" t="n">
        <v>2946421.81</v>
      </c>
      <c r="G24" s="6" t="n">
        <v>3566627.43</v>
      </c>
      <c r="H24" s="6" t="n">
        <v>3660790.62</v>
      </c>
      <c r="I24" s="6">
        <f>IF(D24="متوقف",0,H24*الافتراضات!$B$4)</f>
        <v/>
      </c>
      <c r="J24" s="6">
        <f>I24*(1+الافتراضات!$B$5)</f>
        <v/>
      </c>
      <c r="K24" s="7">
        <f>IF(D24="متوقف",0,MAX(-الافتراضات!$B$6,MIN(الافتراضات!$B$6,-0.037952)))</f>
        <v/>
      </c>
      <c r="L24" s="6">
        <f>I24*(1+K24)</f>
        <v/>
      </c>
      <c r="M24" s="7">
        <f>IF(E24=0,"",F24/E24-1)</f>
        <v/>
      </c>
      <c r="N24" s="7">
        <f>IF(F24=0,"",G24/F24-1)</f>
        <v/>
      </c>
      <c r="O24" s="7">
        <f>IF(G24=0,"",I24/G24-1)</f>
        <v/>
      </c>
      <c r="P24" s="7">
        <f>IF(I24=0,"",J24/I24-1)</f>
        <v/>
      </c>
      <c r="Q24" s="7">
        <f>IF(I24=0,"",L24/I24-1)</f>
        <v/>
      </c>
      <c r="R24" s="5" t="inlineStr"/>
    </row>
    <row r="25">
      <c r="A25" s="5" t="inlineStr">
        <is>
          <t>1439</t>
        </is>
      </c>
      <c r="B25" s="5" t="inlineStr">
        <is>
          <t>ايرادات  مبيعات  ناتجه من النشاط غير مصنفة</t>
        </is>
      </c>
      <c r="C25" s="5" t="inlineStr">
        <is>
          <t>جزاءات وغرامات</t>
        </is>
      </c>
      <c r="D25" s="5" t="inlineStr">
        <is>
          <t>نشط</t>
        </is>
      </c>
      <c r="E25" s="6" t="n">
        <v>3537100</v>
      </c>
      <c r="F25" s="6" t="n">
        <v>256186</v>
      </c>
      <c r="G25" s="6" t="n">
        <v>8503508</v>
      </c>
      <c r="H25" s="6" t="n">
        <v>519000</v>
      </c>
      <c r="I25" s="6">
        <f>IF(D25="متوقف",0,H25*الافتراضات!$B$4)</f>
        <v/>
      </c>
      <c r="J25" s="6">
        <f>I25*(1+الافتراضات!$B$5)</f>
        <v/>
      </c>
      <c r="K25" s="7">
        <f>IF(D25="متوقف",0,MAX(-الافتراضات!$B$6,MIN(الافتراضات!$B$6,0.550513)))</f>
        <v/>
      </c>
      <c r="L25" s="6">
        <f>I25*(1+K25)</f>
        <v/>
      </c>
      <c r="M25" s="7">
        <f>IF(E25=0,"",F25/E25-1)</f>
        <v/>
      </c>
      <c r="N25" s="7">
        <f>IF(F25=0,"",G25/F25-1)</f>
        <v/>
      </c>
      <c r="O25" s="7">
        <f>IF(G25=0,"",I25/G25-1)</f>
        <v/>
      </c>
      <c r="P25" s="7">
        <f>IF(I25=0,"",J25/I25-1)</f>
        <v/>
      </c>
      <c r="Q25" s="7">
        <f>IF(I25=0,"",L25/I25-1)</f>
        <v/>
      </c>
      <c r="R25" s="5" t="inlineStr">
        <is>
          <t>تذبذب عالٍ – راجع التوقع</t>
        </is>
      </c>
    </row>
    <row r="26">
      <c r="A26" s="5" t="inlineStr">
        <is>
          <t>1421901</t>
        </is>
      </c>
      <c r="B26" s="5" t="inlineStr">
        <is>
          <t>بيع الوثائق والأنظمة</t>
        </is>
      </c>
      <c r="C26" s="5" t="inlineStr">
        <is>
          <t>أخرى</t>
        </is>
      </c>
      <c r="D26" s="5" t="inlineStr">
        <is>
          <t>نشط</t>
        </is>
      </c>
      <c r="E26" s="6" t="n">
        <v>2945006</v>
      </c>
      <c r="F26" s="6" t="n">
        <v>2753795</v>
      </c>
      <c r="G26" s="6" t="n">
        <v>2520477</v>
      </c>
      <c r="H26" s="6" t="n">
        <v>1860236</v>
      </c>
      <c r="I26" s="6">
        <f>IF(D26="متوقف",0,H26*الافتراضات!$B$4)</f>
        <v/>
      </c>
      <c r="J26" s="6">
        <f>I26*(1+الافتراضات!$B$5)</f>
        <v/>
      </c>
      <c r="K26" s="7">
        <f>IF(D26="متوقف",0,MAX(-الافتراضات!$B$6,MIN(الافتراضات!$B$6,-0.074880)))</f>
        <v/>
      </c>
      <c r="L26" s="6">
        <f>I26*(1+K26)</f>
        <v/>
      </c>
      <c r="M26" s="7">
        <f>IF(E26=0,"",F26/E26-1)</f>
        <v/>
      </c>
      <c r="N26" s="7">
        <f>IF(F26=0,"",G26/F26-1)</f>
        <v/>
      </c>
      <c r="O26" s="7">
        <f>IF(G26=0,"",I26/G26-1)</f>
        <v/>
      </c>
      <c r="P26" s="7">
        <f>IF(I26=0,"",J26/I26-1)</f>
        <v/>
      </c>
      <c r="Q26" s="7">
        <f>IF(I26=0,"",L26/I26-1)</f>
        <v/>
      </c>
      <c r="R26" s="5" t="inlineStr"/>
    </row>
    <row r="27">
      <c r="A27" s="5" t="inlineStr">
        <is>
          <t>1421903</t>
        </is>
      </c>
      <c r="B27" s="5" t="inlineStr">
        <is>
          <t>مبيعات التيار الكهربائي</t>
        </is>
      </c>
      <c r="C27" s="5" t="inlineStr">
        <is>
          <t>إيرادات إستثمارية</t>
        </is>
      </c>
      <c r="D27" s="5" t="inlineStr">
        <is>
          <t>نشط</t>
        </is>
      </c>
      <c r="E27" s="6" t="n">
        <v>0</v>
      </c>
      <c r="F27" s="6" t="n">
        <v>0</v>
      </c>
      <c r="G27" s="6" t="n">
        <v>8083209.81</v>
      </c>
      <c r="H27" s="6" t="n">
        <v>302027.65</v>
      </c>
      <c r="I27" s="6">
        <f>IF(D27="متوقف",0,H27*الافتراضات!$B$4)</f>
        <v/>
      </c>
      <c r="J27" s="6">
        <f>I27*(1+الافتراضات!$B$5)</f>
        <v/>
      </c>
      <c r="K27" s="7">
        <f>IF(D27="متوقف",0,MAX(-الافتراضات!$B$6,MIN(الافتراضات!$B$6,0.000000)))</f>
        <v/>
      </c>
      <c r="L27" s="6">
        <f>I27*(1+K27)</f>
        <v/>
      </c>
      <c r="M27" s="7">
        <f>IF(E27=0,"",F27/E27-1)</f>
        <v/>
      </c>
      <c r="N27" s="7">
        <f>IF(F27=0,"",G27/F27-1)</f>
        <v/>
      </c>
      <c r="O27" s="7">
        <f>IF(G27=0,"",I27/G27-1)</f>
        <v/>
      </c>
      <c r="P27" s="7">
        <f>IF(I27=0,"",J27/I27-1)</f>
        <v/>
      </c>
      <c r="Q27" s="7">
        <f>IF(I27=0,"",L27/I27-1)</f>
        <v/>
      </c>
      <c r="R27" s="5" t="inlineStr">
        <is>
          <t>تذبذب عالٍ – راجع التوقع</t>
        </is>
      </c>
    </row>
    <row r="28">
      <c r="A28" s="5" t="inlineStr">
        <is>
          <t>1438</t>
        </is>
      </c>
      <c r="B28" s="5" t="inlineStr">
        <is>
          <t>جزاءات وغرامات مفروضة بموجب أنظمة الجهة</t>
        </is>
      </c>
      <c r="C28" s="5" t="inlineStr">
        <is>
          <t>جزاءات وغرامات</t>
        </is>
      </c>
      <c r="D28" s="5" t="inlineStr">
        <is>
          <t>نشط</t>
        </is>
      </c>
      <c r="E28" s="6" t="n">
        <v>6881203</v>
      </c>
      <c r="F28" s="6" t="n">
        <v>486100</v>
      </c>
      <c r="G28" s="6" t="n">
        <v>352900</v>
      </c>
      <c r="H28" s="6" t="n">
        <v>59500</v>
      </c>
      <c r="I28" s="6">
        <f>IF(D28="متوقف",0,H28*الافتراضات!$B$4)</f>
        <v/>
      </c>
      <c r="J28" s="6">
        <f>I28*(1+الافتراضات!$B$5)</f>
        <v/>
      </c>
      <c r="K28" s="7">
        <f>IF(D28="متوقف",0,MAX(-الافتراضات!$B$6,MIN(الافتراضات!$B$6,-0.773539)))</f>
        <v/>
      </c>
      <c r="L28" s="6">
        <f>I28*(1+K28)</f>
        <v/>
      </c>
      <c r="M28" s="7">
        <f>IF(E28=0,"",F28/E28-1)</f>
        <v/>
      </c>
      <c r="N28" s="7">
        <f>IF(F28=0,"",G28/F28-1)</f>
        <v/>
      </c>
      <c r="O28" s="7">
        <f>IF(G28=0,"",I28/G28-1)</f>
        <v/>
      </c>
      <c r="P28" s="7">
        <f>IF(I28=0,"",J28/I28-1)</f>
        <v/>
      </c>
      <c r="Q28" s="7">
        <f>IF(I28=0,"",L28/I28-1)</f>
        <v/>
      </c>
      <c r="R28" s="5" t="inlineStr"/>
    </row>
    <row r="29">
      <c r="A29" s="5" t="inlineStr">
        <is>
          <t>1421912</t>
        </is>
      </c>
      <c r="B29" s="5" t="inlineStr">
        <is>
          <t>تأجير العقارات لأغراض مؤقته</t>
        </is>
      </c>
      <c r="C29" s="5" t="inlineStr">
        <is>
          <t>إيرادات إستثمارية</t>
        </is>
      </c>
      <c r="D29" s="5" t="inlineStr">
        <is>
          <t>نشط</t>
        </is>
      </c>
      <c r="E29" s="6" t="n">
        <v>838420.1899999999</v>
      </c>
      <c r="F29" s="6" t="n">
        <v>2053263.42</v>
      </c>
      <c r="G29" s="6" t="n">
        <v>2460303.51</v>
      </c>
      <c r="H29" s="6" t="n">
        <v>1447854.96</v>
      </c>
      <c r="I29" s="6">
        <f>IF(D29="متوقف",0,H29*الافتراضات!$B$4)</f>
        <v/>
      </c>
      <c r="J29" s="6">
        <f>I29*(1+الافتراضات!$B$5)</f>
        <v/>
      </c>
      <c r="K29" s="7">
        <f>IF(D29="متوقف",0,MAX(-الافتراضات!$B$6,MIN(الافتراضات!$B$6,0.713024)))</f>
        <v/>
      </c>
      <c r="L29" s="6">
        <f>I29*(1+K29)</f>
        <v/>
      </c>
      <c r="M29" s="7">
        <f>IF(E29=0,"",F29/E29-1)</f>
        <v/>
      </c>
      <c r="N29" s="7">
        <f>IF(F29=0,"",G29/F29-1)</f>
        <v/>
      </c>
      <c r="O29" s="7">
        <f>IF(G29=0,"",I29/G29-1)</f>
        <v/>
      </c>
      <c r="P29" s="7">
        <f>IF(I29=0,"",J29/I29-1)</f>
        <v/>
      </c>
      <c r="Q29" s="7">
        <f>IF(I29=0,"",L29/I29-1)</f>
        <v/>
      </c>
      <c r="R29" s="5" t="inlineStr"/>
    </row>
    <row r="30">
      <c r="A30" s="5" t="inlineStr">
        <is>
          <t>11452106</t>
        </is>
      </c>
      <c r="B30" s="5" t="inlineStr">
        <is>
          <t>اصدار التراخيص بتأسيس أو تشغيل ابراج الاتصالات</t>
        </is>
      </c>
      <c r="C30" s="5" t="inlineStr">
        <is>
          <t>الرسوم والتراخيص</t>
        </is>
      </c>
      <c r="D30" s="5" t="inlineStr">
        <is>
          <t>نشط</t>
        </is>
      </c>
      <c r="E30" s="6" t="n">
        <v>1007100</v>
      </c>
      <c r="F30" s="6" t="n">
        <v>1570100</v>
      </c>
      <c r="G30" s="6" t="n">
        <v>1590000</v>
      </c>
      <c r="H30" s="6" t="n">
        <v>476400</v>
      </c>
      <c r="I30" s="6">
        <f>IF(D30="متوقف",0,H30*الافتراضات!$B$4)</f>
        <v/>
      </c>
      <c r="J30" s="6">
        <f>I30*(1+الافتراضات!$B$5)</f>
        <v/>
      </c>
      <c r="K30" s="7">
        <f>IF(D30="متوقف",0,MAX(-الافتراضات!$B$6,MIN(الافتراضات!$B$6,0.256499)))</f>
        <v/>
      </c>
      <c r="L30" s="6">
        <f>I30*(1+K30)</f>
        <v/>
      </c>
      <c r="M30" s="7">
        <f>IF(E30=0,"",F30/E30-1)</f>
        <v/>
      </c>
      <c r="N30" s="7">
        <f>IF(F30=0,"",G30/F30-1)</f>
        <v/>
      </c>
      <c r="O30" s="7">
        <f>IF(G30=0,"",I30/G30-1)</f>
        <v/>
      </c>
      <c r="P30" s="7">
        <f>IF(I30=0,"",J30/I30-1)</f>
        <v/>
      </c>
      <c r="Q30" s="7">
        <f>IF(I30=0,"",L30/I30-1)</f>
        <v/>
      </c>
      <c r="R30" s="5" t="inlineStr"/>
    </row>
    <row r="31">
      <c r="A31" s="5" t="inlineStr">
        <is>
          <t>11452110</t>
        </is>
      </c>
      <c r="B31" s="5" t="inlineStr">
        <is>
          <t>إصدار تراخيص إستخدام أملاك خاصة لإقامة فعاليات</t>
        </is>
      </c>
      <c r="C31" s="5" t="inlineStr">
        <is>
          <t>الرسوم والتراخيص</t>
        </is>
      </c>
      <c r="D31" s="5" t="inlineStr">
        <is>
          <t>نشط</t>
        </is>
      </c>
      <c r="E31" s="6" t="n">
        <v>975004.05</v>
      </c>
      <c r="F31" s="6" t="n">
        <v>1038789.25</v>
      </c>
      <c r="G31" s="6" t="n">
        <v>1014443.22</v>
      </c>
      <c r="H31" s="6" t="n">
        <v>646845.12</v>
      </c>
      <c r="I31" s="6">
        <f>IF(D31="متوقف",0,H31*الافتراضات!$B$4)</f>
        <v/>
      </c>
      <c r="J31" s="6">
        <f>I31*(1+الافتراضات!$B$5)</f>
        <v/>
      </c>
      <c r="K31" s="7">
        <f>IF(D31="متوقف",0,MAX(-الافتراضات!$B$6,MIN(الافتراضات!$B$6,0.020025)))</f>
        <v/>
      </c>
      <c r="L31" s="6">
        <f>I31*(1+K31)</f>
        <v/>
      </c>
      <c r="M31" s="7">
        <f>IF(E31=0,"",F31/E31-1)</f>
        <v/>
      </c>
      <c r="N31" s="7">
        <f>IF(F31=0,"",G31/F31-1)</f>
        <v/>
      </c>
      <c r="O31" s="7">
        <f>IF(G31=0,"",I31/G31-1)</f>
        <v/>
      </c>
      <c r="P31" s="7">
        <f>IF(I31=0,"",J31/I31-1)</f>
        <v/>
      </c>
      <c r="Q31" s="7">
        <f>IF(I31=0,"",L31/I31-1)</f>
        <v/>
      </c>
      <c r="R31" s="5" t="inlineStr"/>
    </row>
    <row r="32">
      <c r="A32" s="5" t="inlineStr">
        <is>
          <t>141229</t>
        </is>
      </c>
      <c r="B32" s="5" t="inlineStr">
        <is>
          <t>أرباح أخرى</t>
        </is>
      </c>
      <c r="C32" s="5" t="inlineStr">
        <is>
          <t>إيرادات إستثمارية</t>
        </is>
      </c>
      <c r="D32" s="5" t="inlineStr">
        <is>
          <t>نشط</t>
        </is>
      </c>
      <c r="E32" s="6" t="n">
        <v>1110572</v>
      </c>
      <c r="F32" s="6" t="n">
        <v>2220000</v>
      </c>
      <c r="G32" s="6" t="n">
        <v>30000</v>
      </c>
      <c r="H32" s="6" t="n">
        <v>60000</v>
      </c>
      <c r="I32" s="6">
        <f>IF(D32="متوقف",0,H32*الافتراضات!$B$4)</f>
        <v/>
      </c>
      <c r="J32" s="6">
        <f>I32*(1+الافتراضات!$B$5)</f>
        <v/>
      </c>
      <c r="K32" s="7">
        <f>IF(D32="متوقف",0,MAX(-الافتراضات!$B$6,MIN(الافتراضات!$B$6,-0.835643)))</f>
        <v/>
      </c>
      <c r="L32" s="6">
        <f>I32*(1+K32)</f>
        <v/>
      </c>
      <c r="M32" s="7">
        <f>IF(E32=0,"",F32/E32-1)</f>
        <v/>
      </c>
      <c r="N32" s="7">
        <f>IF(F32=0,"",G32/F32-1)</f>
        <v/>
      </c>
      <c r="O32" s="7">
        <f>IF(G32=0,"",I32/G32-1)</f>
        <v/>
      </c>
      <c r="P32" s="7">
        <f>IF(I32=0,"",J32/I32-1)</f>
        <v/>
      </c>
      <c r="Q32" s="7">
        <f>IF(I32=0,"",L32/I32-1)</f>
        <v/>
      </c>
      <c r="R32" s="5" t="inlineStr"/>
    </row>
    <row r="33">
      <c r="A33" s="5" t="inlineStr">
        <is>
          <t>11452109</t>
        </is>
      </c>
      <c r="B33" s="5" t="inlineStr">
        <is>
          <t>اعتماد مخططات التطوير العقاري</t>
        </is>
      </c>
      <c r="C33" s="5" t="inlineStr">
        <is>
          <t>الرسوم والتراخيص</t>
        </is>
      </c>
      <c r="D33" s="5" t="inlineStr">
        <is>
          <t>نشط</t>
        </is>
      </c>
      <c r="E33" s="6" t="n">
        <v>1311574.5</v>
      </c>
      <c r="F33" s="6" t="n">
        <v>1330639.22</v>
      </c>
      <c r="G33" s="6" t="n">
        <v>592396.73</v>
      </c>
      <c r="H33" s="6" t="n">
        <v>100</v>
      </c>
      <c r="I33" s="6">
        <f>IF(D33="متوقف",0,H33*الافتراضات!$B$4)</f>
        <v/>
      </c>
      <c r="J33" s="6">
        <f>I33*(1+الافتراضات!$B$5)</f>
        <v/>
      </c>
      <c r="K33" s="7">
        <f>IF(D33="متوقف",0,MAX(-الافتراضات!$B$6,MIN(الافتراضات!$B$6,-0.327937)))</f>
        <v/>
      </c>
      <c r="L33" s="6">
        <f>I33*(1+K33)</f>
        <v/>
      </c>
      <c r="M33" s="7">
        <f>IF(E33=0,"",F33/E33-1)</f>
        <v/>
      </c>
      <c r="N33" s="7">
        <f>IF(F33=0,"",G33/F33-1)</f>
        <v/>
      </c>
      <c r="O33" s="7">
        <f>IF(G33=0,"",I33/G33-1)</f>
        <v/>
      </c>
      <c r="P33" s="7">
        <f>IF(I33=0,"",J33/I33-1)</f>
        <v/>
      </c>
      <c r="Q33" s="7">
        <f>IF(I33=0,"",L33/I33-1)</f>
        <v/>
      </c>
      <c r="R33" s="5" t="inlineStr"/>
    </row>
    <row r="34">
      <c r="A34" s="5" t="inlineStr">
        <is>
          <t>11452107</t>
        </is>
      </c>
      <c r="B34" s="5" t="inlineStr">
        <is>
          <t>اصدار التراخيص بتأسيس أو تشغيل الصراف الآلي</t>
        </is>
      </c>
      <c r="C34" s="5" t="inlineStr">
        <is>
          <t>الرسوم والتراخيص</t>
        </is>
      </c>
      <c r="D34" s="5" t="inlineStr">
        <is>
          <t>نشط</t>
        </is>
      </c>
      <c r="E34" s="6" t="n">
        <v>54000</v>
      </c>
      <c r="F34" s="6" t="n">
        <v>92000</v>
      </c>
      <c r="G34" s="6" t="n">
        <v>236273.52</v>
      </c>
      <c r="H34" s="6" t="n">
        <v>200184.61</v>
      </c>
      <c r="I34" s="6">
        <f>IF(D34="متوقف",0,H34*الافتراضات!$B$4)</f>
        <v/>
      </c>
      <c r="J34" s="6">
        <f>I34*(1+الافتراضات!$B$5)</f>
        <v/>
      </c>
      <c r="K34" s="7">
        <f>IF(D34="متوقف",0,MAX(-الافتراضات!$B$6,MIN(الافتراضات!$B$6,1.091754)))</f>
        <v/>
      </c>
      <c r="L34" s="6">
        <f>I34*(1+K34)</f>
        <v/>
      </c>
      <c r="M34" s="7">
        <f>IF(E34=0,"",F34/E34-1)</f>
        <v/>
      </c>
      <c r="N34" s="7">
        <f>IF(F34=0,"",G34/F34-1)</f>
        <v/>
      </c>
      <c r="O34" s="7">
        <f>IF(G34=0,"",I34/G34-1)</f>
        <v/>
      </c>
      <c r="P34" s="7">
        <f>IF(I34=0,"",J34/I34-1)</f>
        <v/>
      </c>
      <c r="Q34" s="7">
        <f>IF(I34=0,"",L34/I34-1)</f>
        <v/>
      </c>
      <c r="R34" s="5" t="inlineStr"/>
    </row>
    <row r="35">
      <c r="A35" s="5" t="inlineStr">
        <is>
          <t>3318212</t>
        </is>
      </c>
      <c r="B35" s="5" t="inlineStr">
        <is>
          <t>مرتجع رواتب - فواتير</t>
        </is>
      </c>
      <c r="C35" s="5" t="inlineStr">
        <is>
          <t>أخرى</t>
        </is>
      </c>
      <c r="D35" s="5" t="inlineStr">
        <is>
          <t>نشط</t>
        </is>
      </c>
      <c r="E35" s="6" t="n">
        <v>0</v>
      </c>
      <c r="F35" s="6" t="n">
        <v>0</v>
      </c>
      <c r="G35" s="6" t="n">
        <v>152767.79</v>
      </c>
      <c r="H35" s="6" t="n">
        <v>361665.23</v>
      </c>
      <c r="I35" s="6">
        <f>IF(D35="متوقف",0,H35*الافتراضات!$B$4)</f>
        <v/>
      </c>
      <c r="J35" s="6">
        <f>I35*(1+الافتراضات!$B$5)</f>
        <v/>
      </c>
      <c r="K35" s="7">
        <f>IF(D35="متوقف",0,MAX(-الافتراضات!$B$6,MIN(الافتراضات!$B$6,0.000000)))</f>
        <v/>
      </c>
      <c r="L35" s="6">
        <f>I35*(1+K35)</f>
        <v/>
      </c>
      <c r="M35" s="7">
        <f>IF(E35=0,"",F35/E35-1)</f>
        <v/>
      </c>
      <c r="N35" s="7">
        <f>IF(F35=0,"",G35/F35-1)</f>
        <v/>
      </c>
      <c r="O35" s="7">
        <f>IF(G35=0,"",I35/G35-1)</f>
        <v/>
      </c>
      <c r="P35" s="7">
        <f>IF(I35=0,"",J35/I35-1)</f>
        <v/>
      </c>
      <c r="Q35" s="7">
        <f>IF(I35=0,"",L35/I35-1)</f>
        <v/>
      </c>
      <c r="R35" s="5" t="inlineStr"/>
    </row>
    <row r="36">
      <c r="A36" s="5" t="inlineStr">
        <is>
          <t>11422</t>
        </is>
      </c>
      <c r="B36" s="5" t="inlineStr">
        <is>
          <t>رسوم منتجات التبغ</t>
        </is>
      </c>
      <c r="C36" s="5" t="inlineStr">
        <is>
          <t>التبغ والإيواء</t>
        </is>
      </c>
      <c r="D36" s="5" t="inlineStr">
        <is>
          <t>متوقف</t>
        </is>
      </c>
      <c r="E36" s="6" t="n">
        <v>27000</v>
      </c>
      <c r="F36" s="6" t="n">
        <v>5167</v>
      </c>
      <c r="G36" s="6" t="n">
        <v>72000</v>
      </c>
      <c r="H36" s="6" t="n">
        <v>0</v>
      </c>
      <c r="I36" s="6">
        <f>IF(D36="متوقف",0,H36*الافتراضات!$B$4)</f>
        <v/>
      </c>
      <c r="J36" s="6">
        <f>I36*(1+الافتراضات!$B$5)</f>
        <v/>
      </c>
      <c r="K36" s="7">
        <f>IF(D36="متوقف",0,MAX(-الافتراضات!$B$6,MIN(الافتراضات!$B$6,0.632993)))</f>
        <v/>
      </c>
      <c r="L36" s="6">
        <f>I36*(1+K36)</f>
        <v/>
      </c>
      <c r="M36" s="7">
        <f>IF(E36=0,"",F36/E36-1)</f>
        <v/>
      </c>
      <c r="N36" s="7">
        <f>IF(F36=0,"",G36/F36-1)</f>
        <v/>
      </c>
      <c r="O36" s="7">
        <f>IF(G36=0,"",I36/G36-1)</f>
        <v/>
      </c>
      <c r="P36" s="7">
        <f>IF(I36=0,"",J36/I36-1)</f>
        <v/>
      </c>
      <c r="Q36" s="7">
        <f>IF(I36=0,"",L36/I36-1)</f>
        <v/>
      </c>
      <c r="R36" s="5" t="inlineStr">
        <is>
          <t>متوقف في 2026 – توقعه صفر</t>
        </is>
      </c>
    </row>
    <row r="37">
      <c r="A37" s="5" t="inlineStr">
        <is>
          <t>1422103</t>
        </is>
      </c>
      <c r="B37" s="5" t="inlineStr">
        <is>
          <t>تراخيص المحلات</t>
        </is>
      </c>
      <c r="C37" s="5" t="inlineStr">
        <is>
          <t>إيرادات إستثمارية</t>
        </is>
      </c>
      <c r="D37" s="5" t="inlineStr">
        <is>
          <t>نشط</t>
        </is>
      </c>
      <c r="E37" s="6" t="n">
        <v>67711.60000000001</v>
      </c>
      <c r="F37" s="6" t="n">
        <v>16269.6</v>
      </c>
      <c r="G37" s="6" t="n">
        <v>1603.2</v>
      </c>
      <c r="H37" s="6" t="n">
        <v>432</v>
      </c>
      <c r="I37" s="6">
        <f>IF(D37="متوقف",0,H37*الافتراضات!$B$4)</f>
        <v/>
      </c>
      <c r="J37" s="6">
        <f>I37*(1+الافتراضات!$B$5)</f>
        <v/>
      </c>
      <c r="K37" s="7">
        <f>IF(D37="متوقف",0,MAX(-الافتراضات!$B$6,MIN(الافتراضات!$B$6,-0.846127)))</f>
        <v/>
      </c>
      <c r="L37" s="6">
        <f>I37*(1+K37)</f>
        <v/>
      </c>
      <c r="M37" s="7">
        <f>IF(E37=0,"",F37/E37-1)</f>
        <v/>
      </c>
      <c r="N37" s="7">
        <f>IF(F37=0,"",G37/F37-1)</f>
        <v/>
      </c>
      <c r="O37" s="7">
        <f>IF(G37=0,"",I37/G37-1)</f>
        <v/>
      </c>
      <c r="P37" s="7">
        <f>IF(I37=0,"",J37/I37-1)</f>
        <v/>
      </c>
      <c r="Q37" s="7">
        <f>IF(I37=0,"",L37/I37-1)</f>
        <v/>
      </c>
      <c r="R37" s="5" t="inlineStr"/>
    </row>
    <row r="38">
      <c r="A38" s="5" t="inlineStr">
        <is>
          <t>11452513</t>
        </is>
      </c>
      <c r="B38" s="5" t="inlineStr">
        <is>
          <t>لوحات إرشـادية</t>
        </is>
      </c>
      <c r="C38" s="5" t="inlineStr">
        <is>
          <t>الرسوم والتراخيص</t>
        </is>
      </c>
      <c r="D38" s="5" t="inlineStr">
        <is>
          <t>نشط</t>
        </is>
      </c>
      <c r="E38" s="6" t="n">
        <v>55525</v>
      </c>
      <c r="F38" s="6" t="n">
        <v>12875</v>
      </c>
      <c r="G38" s="6" t="n">
        <v>9000</v>
      </c>
      <c r="H38" s="6" t="n">
        <v>600</v>
      </c>
      <c r="I38" s="6">
        <f>IF(D38="متوقف",0,H38*الافتراضات!$B$4)</f>
        <v/>
      </c>
      <c r="J38" s="6">
        <f>I38*(1+الافتراضات!$B$5)</f>
        <v/>
      </c>
      <c r="K38" s="7">
        <f>IF(D38="متوقف",0,MAX(-الافتراضات!$B$6,MIN(الافتراضات!$B$6,-0.597397)))</f>
        <v/>
      </c>
      <c r="L38" s="6">
        <f>I38*(1+K38)</f>
        <v/>
      </c>
      <c r="M38" s="7">
        <f>IF(E38=0,"",F38/E38-1)</f>
        <v/>
      </c>
      <c r="N38" s="7">
        <f>IF(F38=0,"",G38/F38-1)</f>
        <v/>
      </c>
      <c r="O38" s="7">
        <f>IF(G38=0,"",I38/G38-1)</f>
        <v/>
      </c>
      <c r="P38" s="7">
        <f>IF(I38=0,"",J38/I38-1)</f>
        <v/>
      </c>
      <c r="Q38" s="7">
        <f>IF(I38=0,"",L38/I38-1)</f>
        <v/>
      </c>
      <c r="R38" s="5" t="inlineStr"/>
    </row>
    <row r="39">
      <c r="A39" s="5" t="inlineStr">
        <is>
          <t>1421907</t>
        </is>
      </c>
      <c r="B39" s="5" t="inlineStr">
        <is>
          <t>إيرادات المخططات</t>
        </is>
      </c>
      <c r="C39" s="5" t="inlineStr">
        <is>
          <t>الرسوم والتراخيص</t>
        </is>
      </c>
      <c r="D39" s="5" t="inlineStr">
        <is>
          <t>نشط</t>
        </is>
      </c>
      <c r="E39" s="6" t="n">
        <v>0</v>
      </c>
      <c r="F39" s="6" t="n">
        <v>0</v>
      </c>
      <c r="G39" s="6" t="n">
        <v>21950</v>
      </c>
      <c r="H39" s="6" t="n">
        <v>6350</v>
      </c>
      <c r="I39" s="6">
        <f>IF(D39="متوقف",0,H39*الافتراضات!$B$4)</f>
        <v/>
      </c>
      <c r="J39" s="6">
        <f>I39*(1+الافتراضات!$B$5)</f>
        <v/>
      </c>
      <c r="K39" s="7">
        <f>IF(D39="متوقف",0,MAX(-الافتراضات!$B$6,MIN(الافتراضات!$B$6,0.000000)))</f>
        <v/>
      </c>
      <c r="L39" s="6">
        <f>I39*(1+K39)</f>
        <v/>
      </c>
      <c r="M39" s="7">
        <f>IF(E39=0,"",F39/E39-1)</f>
        <v/>
      </c>
      <c r="N39" s="7">
        <f>IF(F39=0,"",G39/F39-1)</f>
        <v/>
      </c>
      <c r="O39" s="7">
        <f>IF(G39=0,"",I39/G39-1)</f>
        <v/>
      </c>
      <c r="P39" s="7">
        <f>IF(I39=0,"",J39/I39-1)</f>
        <v/>
      </c>
      <c r="Q39" s="7">
        <f>IF(I39=0,"",L39/I39-1)</f>
        <v/>
      </c>
      <c r="R39" s="5" t="inlineStr"/>
    </row>
    <row r="40">
      <c r="A40" s="5" t="inlineStr">
        <is>
          <t>1421908</t>
        </is>
      </c>
      <c r="B40" s="5" t="inlineStr">
        <is>
          <t>ايرادات  رسوم خدمات  بلدية</t>
        </is>
      </c>
      <c r="C40" s="5" t="inlineStr">
        <is>
          <t>إيرادات إستثمارية</t>
        </is>
      </c>
      <c r="D40" s="5" t="inlineStr">
        <is>
          <t>متوقف</t>
        </is>
      </c>
      <c r="E40" s="6" t="n">
        <v>16385</v>
      </c>
      <c r="F40" s="6" t="n">
        <v>0</v>
      </c>
      <c r="G40" s="6" t="n">
        <v>0</v>
      </c>
      <c r="H40" s="6" t="n">
        <v>0</v>
      </c>
      <c r="I40" s="6">
        <f>IF(D40="متوقف",0,H40*الافتراضات!$B$4)</f>
        <v/>
      </c>
      <c r="J40" s="6">
        <f>I40*(1+الافتراضات!$B$5)</f>
        <v/>
      </c>
      <c r="K40" s="7">
        <f>IF(D40="متوقف",0,MAX(-الافتراضات!$B$6,MIN(الافتراضات!$B$6,0.000000)))</f>
        <v/>
      </c>
      <c r="L40" s="6">
        <f>I40*(1+K40)</f>
        <v/>
      </c>
      <c r="M40" s="7">
        <f>IF(E40=0,"",F40/E40-1)</f>
        <v/>
      </c>
      <c r="N40" s="7">
        <f>IF(F40=0,"",G40/F40-1)</f>
        <v/>
      </c>
      <c r="O40" s="7">
        <f>IF(G40=0,"",I40/G40-1)</f>
        <v/>
      </c>
      <c r="P40" s="7">
        <f>IF(I40=0,"",J40/I40-1)</f>
        <v/>
      </c>
      <c r="Q40" s="7">
        <f>IF(I40=0,"",L40/I40-1)</f>
        <v/>
      </c>
      <c r="R40" s="5" t="inlineStr">
        <is>
          <t>متوقف في 2026 – توقعه صفر</t>
        </is>
      </c>
    </row>
    <row r="41">
      <c r="A41" s="5" t="inlineStr">
        <is>
          <t>142161</t>
        </is>
      </c>
      <c r="B41" s="5" t="inlineStr">
        <is>
          <t>تاجير مباني سكنية</t>
        </is>
      </c>
      <c r="C41" s="5" t="inlineStr">
        <is>
          <t>إيرادات إستثمارية</t>
        </is>
      </c>
      <c r="D41" s="5" t="inlineStr">
        <is>
          <t>متوقف</t>
        </is>
      </c>
      <c r="E41" s="6" t="n">
        <v>0</v>
      </c>
      <c r="F41" s="6" t="n">
        <v>0</v>
      </c>
      <c r="G41" s="6" t="n">
        <v>6000</v>
      </c>
      <c r="H41" s="6" t="n">
        <v>0</v>
      </c>
      <c r="I41" s="6">
        <f>IF(D41="متوقف",0,H41*الافتراضات!$B$4)</f>
        <v/>
      </c>
      <c r="J41" s="6">
        <f>I41*(1+الافتراضات!$B$5)</f>
        <v/>
      </c>
      <c r="K41" s="7">
        <f>IF(D41="متوقف",0,MAX(-الافتراضات!$B$6,MIN(الافتراضات!$B$6,0.000000)))</f>
        <v/>
      </c>
      <c r="L41" s="6">
        <f>I41*(1+K41)</f>
        <v/>
      </c>
      <c r="M41" s="7">
        <f>IF(E41=0,"",F41/E41-1)</f>
        <v/>
      </c>
      <c r="N41" s="7">
        <f>IF(F41=0,"",G41/F41-1)</f>
        <v/>
      </c>
      <c r="O41" s="7">
        <f>IF(G41=0,"",I41/G41-1)</f>
        <v/>
      </c>
      <c r="P41" s="7">
        <f>IF(I41=0,"",J41/I41-1)</f>
        <v/>
      </c>
      <c r="Q41" s="7">
        <f>IF(I41=0,"",L41/I41-1)</f>
        <v/>
      </c>
      <c r="R41" s="5" t="inlineStr">
        <is>
          <t>متوقف في 2026 – توقعه صفر</t>
        </is>
      </c>
    </row>
    <row r="42">
      <c r="A42" s="8" t="n"/>
      <c r="B42" s="8" t="inlineStr">
        <is>
          <t>الإجمالي</t>
        </is>
      </c>
      <c r="C42" s="8" t="n"/>
      <c r="D42" s="8" t="n"/>
      <c r="E42" s="9">
        <f>SUM(E4:E41)</f>
        <v/>
      </c>
      <c r="F42" s="9">
        <f>SUM(F4:F41)</f>
        <v/>
      </c>
      <c r="G42" s="9">
        <f>SUM(G4:G41)</f>
        <v/>
      </c>
      <c r="H42" s="9">
        <f>SUM(H4:H41)</f>
        <v/>
      </c>
      <c r="I42" s="9">
        <f>SUM(I4:I41)</f>
        <v/>
      </c>
      <c r="J42" s="9">
        <f>SUM(J4:J41)</f>
        <v/>
      </c>
      <c r="K42" s="10">
        <f>L42/I42-1</f>
        <v/>
      </c>
      <c r="L42" s="9">
        <f>SUM(L4:L41)</f>
        <v/>
      </c>
      <c r="M42" s="10">
        <f>IF(E42=0,"",F42/E42-1)</f>
        <v/>
      </c>
      <c r="N42" s="10">
        <f>IF(F42=0,"",G42/F42-1)</f>
        <v/>
      </c>
      <c r="O42" s="10">
        <f>IF(G42=0,"",I42/G42-1)</f>
        <v/>
      </c>
      <c r="P42" s="10">
        <f>IF(I42=0,"",J42/I42-1)</f>
        <v/>
      </c>
      <c r="Q42" s="10">
        <f>IF(I42=0,"",L42/I42-1)</f>
        <v/>
      </c>
      <c r="R42" s="8" t="n"/>
    </row>
  </sheetData>
  <autoFilter ref="A3:R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rightToLeft="1" workbookViewId="0">
      <selection activeCell="A1" sqref="A1"/>
    </sheetView>
  </sheetViews>
  <sheetFormatPr baseColWidth="8" defaultRowHeight="15"/>
  <cols>
    <col width="24" customWidth="1" min="1" max="1"/>
    <col width="16" customWidth="1" min="2" max="2"/>
    <col width="16" customWidth="1" min="3" max="3"/>
    <col width="16" customWidth="1" min="4" max="4"/>
    <col width="20" customWidth="1" min="5" max="5"/>
    <col width="16" customWidth="1" min="6" max="6"/>
    <col width="16" customWidth="1" min="7" max="7"/>
    <col width="16" customWidth="1" min="8" max="8"/>
  </cols>
  <sheetData>
    <row r="1">
      <c r="A1" s="1" t="inlineStr">
        <is>
          <t>ملخص حسب التبويب</t>
        </is>
      </c>
    </row>
    <row r="3" ht="42" customHeight="1">
      <c r="A3" s="4" t="inlineStr">
        <is>
          <t>التبويب</t>
        </is>
      </c>
      <c r="B3" s="4" t="inlineStr">
        <is>
          <t>2023 فعلي</t>
        </is>
      </c>
      <c r="C3" s="4" t="inlineStr">
        <is>
          <t>2024 فعلي</t>
        </is>
      </c>
      <c r="D3" s="4" t="inlineStr">
        <is>
          <t>2025 فعلي</t>
        </is>
      </c>
      <c r="E3" s="4" t="inlineStr">
        <is>
          <t>2026 فعلي (حتى سبتمبر)</t>
        </is>
      </c>
      <c r="F3" s="4" t="inlineStr">
        <is>
          <t>2026 توقع</t>
        </is>
      </c>
      <c r="G3" s="4" t="inlineStr">
        <is>
          <t>2027 – سيناريو النمو الثابت</t>
        </is>
      </c>
      <c r="H3" s="4" t="inlineStr">
        <is>
          <t>2027 – تاريخي</t>
        </is>
      </c>
    </row>
    <row r="4">
      <c r="A4" s="5" t="inlineStr">
        <is>
          <t>الرسوم والتراخيص</t>
        </is>
      </c>
      <c r="B4" s="6">
        <f>SUMIF(التوقعات!$C$4:$C$41,$A4,التوقعات!E$4:E$41)</f>
        <v/>
      </c>
      <c r="C4" s="6">
        <f>SUMIF(التوقعات!$C$4:$C$41,$A4,التوقعات!F$4:F$41)</f>
        <v/>
      </c>
      <c r="D4" s="6">
        <f>SUMIF(التوقعات!$C$4:$C$41,$A4,التوقعات!G$4:G$41)</f>
        <v/>
      </c>
      <c r="E4" s="6">
        <f>SUMIF(التوقعات!$C$4:$C$41,$A4,التوقعات!H$4:H$41)</f>
        <v/>
      </c>
      <c r="F4" s="6">
        <f>SUMIF(التوقعات!$C$4:$C$41,$A4,التوقعات!I$4:I$41)</f>
        <v/>
      </c>
      <c r="G4" s="6">
        <f>SUMIF(التوقعات!$C$4:$C$41,$A4,التوقعات!J$4:J$41)</f>
        <v/>
      </c>
      <c r="H4" s="6">
        <f>SUMIF(التوقعات!$C$4:$C$41,$A4,التوقعات!L$4:L$41)</f>
        <v/>
      </c>
    </row>
    <row r="5">
      <c r="A5" s="5" t="inlineStr">
        <is>
          <t>إيرادات إستثمارية</t>
        </is>
      </c>
      <c r="B5" s="6">
        <f>SUMIF(التوقعات!$C$4:$C$41,$A5,التوقعات!E$4:E$41)</f>
        <v/>
      </c>
      <c r="C5" s="6">
        <f>SUMIF(التوقعات!$C$4:$C$41,$A5,التوقعات!F$4:F$41)</f>
        <v/>
      </c>
      <c r="D5" s="6">
        <f>SUMIF(التوقعات!$C$4:$C$41,$A5,التوقعات!G$4:G$41)</f>
        <v/>
      </c>
      <c r="E5" s="6">
        <f>SUMIF(التوقعات!$C$4:$C$41,$A5,التوقعات!H$4:H$41)</f>
        <v/>
      </c>
      <c r="F5" s="6">
        <f>SUMIF(التوقعات!$C$4:$C$41,$A5,التوقعات!I$4:I$41)</f>
        <v/>
      </c>
      <c r="G5" s="6">
        <f>SUMIF(التوقعات!$C$4:$C$41,$A5,التوقعات!J$4:J$41)</f>
        <v/>
      </c>
      <c r="H5" s="6">
        <f>SUMIF(التوقعات!$C$4:$C$41,$A5,التوقعات!L$4:L$41)</f>
        <v/>
      </c>
    </row>
    <row r="6">
      <c r="A6" s="5" t="inlineStr">
        <is>
          <t>جزاءات وغرامات</t>
        </is>
      </c>
      <c r="B6" s="6">
        <f>SUMIF(التوقعات!$C$4:$C$41,$A6,التوقعات!E$4:E$41)</f>
        <v/>
      </c>
      <c r="C6" s="6">
        <f>SUMIF(التوقعات!$C$4:$C$41,$A6,التوقعات!F$4:F$41)</f>
        <v/>
      </c>
      <c r="D6" s="6">
        <f>SUMIF(التوقعات!$C$4:$C$41,$A6,التوقعات!G$4:G$41)</f>
        <v/>
      </c>
      <c r="E6" s="6">
        <f>SUMIF(التوقعات!$C$4:$C$41,$A6,التوقعات!H$4:H$41)</f>
        <v/>
      </c>
      <c r="F6" s="6">
        <f>SUMIF(التوقعات!$C$4:$C$41,$A6,التوقعات!I$4:I$41)</f>
        <v/>
      </c>
      <c r="G6" s="6">
        <f>SUMIF(التوقعات!$C$4:$C$41,$A6,التوقعات!J$4:J$41)</f>
        <v/>
      </c>
      <c r="H6" s="6">
        <f>SUMIF(التوقعات!$C$4:$C$41,$A6,التوقعات!L$4:L$41)</f>
        <v/>
      </c>
    </row>
    <row r="7">
      <c r="A7" s="5" t="inlineStr">
        <is>
          <t>التبغ والإيواء</t>
        </is>
      </c>
      <c r="B7" s="6">
        <f>SUMIF(التوقعات!$C$4:$C$41,$A7,التوقعات!E$4:E$41)</f>
        <v/>
      </c>
      <c r="C7" s="6">
        <f>SUMIF(التوقعات!$C$4:$C$41,$A7,التوقعات!F$4:F$41)</f>
        <v/>
      </c>
      <c r="D7" s="6">
        <f>SUMIF(التوقعات!$C$4:$C$41,$A7,التوقعات!G$4:G$41)</f>
        <v/>
      </c>
      <c r="E7" s="6">
        <f>SUMIF(التوقعات!$C$4:$C$41,$A7,التوقعات!H$4:H$41)</f>
        <v/>
      </c>
      <c r="F7" s="6">
        <f>SUMIF(التوقعات!$C$4:$C$41,$A7,التوقعات!I$4:I$41)</f>
        <v/>
      </c>
      <c r="G7" s="6">
        <f>SUMIF(التوقعات!$C$4:$C$41,$A7,التوقعات!J$4:J$41)</f>
        <v/>
      </c>
      <c r="H7" s="6">
        <f>SUMIF(التوقعات!$C$4:$C$41,$A7,التوقعات!L$4:L$41)</f>
        <v/>
      </c>
    </row>
    <row r="8">
      <c r="A8" s="5" t="inlineStr">
        <is>
          <t>أخرى</t>
        </is>
      </c>
      <c r="B8" s="6">
        <f>SUMIF(التوقعات!$C$4:$C$41,$A8,التوقعات!E$4:E$41)</f>
        <v/>
      </c>
      <c r="C8" s="6">
        <f>SUMIF(التوقعات!$C$4:$C$41,$A8,التوقعات!F$4:F$41)</f>
        <v/>
      </c>
      <c r="D8" s="6">
        <f>SUMIF(التوقعات!$C$4:$C$41,$A8,التوقعات!G$4:G$41)</f>
        <v/>
      </c>
      <c r="E8" s="6">
        <f>SUMIF(التوقعات!$C$4:$C$41,$A8,التوقعات!H$4:H$41)</f>
        <v/>
      </c>
      <c r="F8" s="6">
        <f>SUMIF(التوقعات!$C$4:$C$41,$A8,التوقعات!I$4:I$41)</f>
        <v/>
      </c>
      <c r="G8" s="6">
        <f>SUMIF(التوقعات!$C$4:$C$41,$A8,التوقعات!J$4:J$41)</f>
        <v/>
      </c>
      <c r="H8" s="6">
        <f>SUMIF(التوقعات!$C$4:$C$41,$A8,التوقعات!L$4:L$41)</f>
        <v/>
      </c>
    </row>
    <row r="9">
      <c r="A9" s="5" t="inlineStr">
        <is>
          <t>علم / جزاءات</t>
        </is>
      </c>
      <c r="B9" s="6">
        <f>SUMIF(التوقعات!$C$4:$C$41,$A9,التوقعات!E$4:E$41)</f>
        <v/>
      </c>
      <c r="C9" s="6">
        <f>SUMIF(التوقعات!$C$4:$C$41,$A9,التوقعات!F$4:F$41)</f>
        <v/>
      </c>
      <c r="D9" s="6">
        <f>SUMIF(التوقعات!$C$4:$C$41,$A9,التوقعات!G$4:G$41)</f>
        <v/>
      </c>
      <c r="E9" s="6">
        <f>SUMIF(التوقعات!$C$4:$C$41,$A9,التوقعات!H$4:H$41)</f>
        <v/>
      </c>
      <c r="F9" s="6">
        <f>SUMIF(التوقعات!$C$4:$C$41,$A9,التوقعات!I$4:I$41)</f>
        <v/>
      </c>
      <c r="G9" s="6">
        <f>SUMIF(التوقعات!$C$4:$C$41,$A9,التوقعات!J$4:J$41)</f>
        <v/>
      </c>
      <c r="H9" s="6">
        <f>SUMIF(التوقعات!$C$4:$C$41,$A9,التوقعات!L$4:L$41)</f>
        <v/>
      </c>
    </row>
    <row r="10">
      <c r="A10" s="8" t="inlineStr">
        <is>
          <t>الإجمالي</t>
        </is>
      </c>
      <c r="B10" s="9">
        <f>SUM(B4:B9)</f>
        <v/>
      </c>
      <c r="C10" s="9">
        <f>SUM(C4:C9)</f>
        <v/>
      </c>
      <c r="D10" s="9">
        <f>SUM(D4:D9)</f>
        <v/>
      </c>
      <c r="E10" s="9">
        <f>SUM(E4:E9)</f>
        <v/>
      </c>
      <c r="F10" s="9">
        <f>SUM(F4:F9)</f>
        <v/>
      </c>
      <c r="G10" s="9">
        <f>SUM(G4:G9)</f>
        <v/>
      </c>
      <c r="H10" s="9">
        <f>SUM(H4:H9)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تفصيل: المفوتر مقابل المحصل عن سنوات سابقة (فعلي)</t>
        </is>
      </c>
    </row>
    <row r="3" ht="42" customHeight="1">
      <c r="A3" s="4" t="inlineStr">
        <is>
          <t>رقم الحساب</t>
        </is>
      </c>
      <c r="B3" s="4" t="inlineStr">
        <is>
          <t>اسم الحساب</t>
        </is>
      </c>
      <c r="C3" s="4" t="inlineStr">
        <is>
          <t>2023 مفوتر</t>
        </is>
      </c>
      <c r="D3" s="4" t="inlineStr">
        <is>
          <t>2024 مفوتر</t>
        </is>
      </c>
      <c r="E3" s="4" t="inlineStr">
        <is>
          <t>2025 مفوتر</t>
        </is>
      </c>
      <c r="F3" s="4" t="inlineStr">
        <is>
          <t>2026 مفوتر</t>
        </is>
      </c>
      <c r="G3" s="4" t="inlineStr">
        <is>
          <t>2023 محصل سنوات سابقة</t>
        </is>
      </c>
      <c r="H3" s="4" t="inlineStr">
        <is>
          <t>2024 محصل سنوات سابقة</t>
        </is>
      </c>
      <c r="I3" s="4" t="inlineStr">
        <is>
          <t>2025 محصل سنوات سابقة</t>
        </is>
      </c>
      <c r="J3" s="4" t="inlineStr">
        <is>
          <t>2026 محصل سنوات سابقة</t>
        </is>
      </c>
    </row>
    <row r="4">
      <c r="A4" s="5" t="inlineStr">
        <is>
          <t>1438001</t>
        </is>
      </c>
      <c r="B4" s="5" t="inlineStr">
        <is>
          <t>جزاءات و غرامات مفروضة بموجب أنظمة الجهة</t>
        </is>
      </c>
      <c r="C4" s="6" t="n">
        <v>685276798.25</v>
      </c>
      <c r="D4" s="6" t="n">
        <v>747468766.9400001</v>
      </c>
      <c r="E4" s="6" t="n">
        <v>911367824.01</v>
      </c>
      <c r="F4" s="6" t="n">
        <v>899147243.95</v>
      </c>
      <c r="G4" s="6" t="n">
        <v>119310650.68</v>
      </c>
      <c r="H4" s="6" t="n">
        <v>97672355.93000001</v>
      </c>
      <c r="I4" s="6" t="n">
        <v>84150751.15000001</v>
      </c>
      <c r="J4" s="6" t="n">
        <v>166052817.37</v>
      </c>
    </row>
    <row r="5">
      <c r="A5" s="5" t="inlineStr">
        <is>
          <t>14155</t>
        </is>
      </c>
      <c r="B5" s="5" t="inlineStr">
        <is>
          <t>ريع الأراضي (تأجير الأراض )</t>
        </is>
      </c>
      <c r="C5" s="6" t="n">
        <v>842413103.38</v>
      </c>
      <c r="D5" s="6" t="n">
        <v>818863150.45</v>
      </c>
      <c r="E5" s="6" t="n">
        <v>699822494.22</v>
      </c>
      <c r="F5" s="6" t="n">
        <v>644194981.0700001</v>
      </c>
      <c r="G5" s="6" t="n">
        <v>93612947.51000001</v>
      </c>
      <c r="H5" s="6" t="n">
        <v>136836492.97</v>
      </c>
      <c r="I5" s="6" t="n">
        <v>127805706.54</v>
      </c>
      <c r="J5" s="6" t="n">
        <v>159404450.96</v>
      </c>
    </row>
    <row r="6">
      <c r="A6" s="5" t="inlineStr">
        <is>
          <t>142113</t>
        </is>
      </c>
      <c r="B6" s="5" t="inlineStr">
        <is>
          <t>ايرادات  اللوحات الدعائية</t>
        </is>
      </c>
      <c r="C6" s="6" t="n">
        <v>169297725.51</v>
      </c>
      <c r="D6" s="6" t="n">
        <v>675745534.05</v>
      </c>
      <c r="E6" s="6" t="n">
        <v>1026901362.89</v>
      </c>
      <c r="F6" s="6" t="n">
        <v>89273830.20999999</v>
      </c>
      <c r="G6" s="6" t="n">
        <v>5770224.15</v>
      </c>
      <c r="H6" s="6" t="n">
        <v>4522788.84</v>
      </c>
      <c r="I6" s="6" t="n">
        <v>29256349.79</v>
      </c>
      <c r="J6" s="6" t="n">
        <v>37201440</v>
      </c>
    </row>
    <row r="7">
      <c r="A7" s="5" t="inlineStr">
        <is>
          <t>11452104</t>
        </is>
      </c>
      <c r="B7" s="5" t="inlineStr">
        <is>
          <t>إصدار رخص الأنشطة التجارية</t>
        </is>
      </c>
      <c r="C7" s="6" t="n">
        <v>276568032.26</v>
      </c>
      <c r="D7" s="6" t="n">
        <v>304082752.31</v>
      </c>
      <c r="E7" s="6" t="n">
        <v>280875173.79</v>
      </c>
      <c r="F7" s="6" t="n">
        <v>258813219.47</v>
      </c>
      <c r="G7" s="6" t="n">
        <v>4735981.6</v>
      </c>
      <c r="H7" s="6" t="n">
        <v>4941912.88</v>
      </c>
      <c r="I7" s="6" t="n">
        <v>6180715.39</v>
      </c>
      <c r="J7" s="6" t="n">
        <v>7491806.95</v>
      </c>
    </row>
    <row r="8">
      <c r="A8" s="5" t="inlineStr">
        <is>
          <t>11452103</t>
        </is>
      </c>
      <c r="B8" s="5" t="inlineStr">
        <is>
          <t>ايراد اصدار تراخيص المباني والاسوار - أمانة منطقة الرياض</t>
        </is>
      </c>
      <c r="C8" s="6" t="n">
        <v>227165553.94</v>
      </c>
      <c r="D8" s="6" t="n">
        <v>254056220.62</v>
      </c>
      <c r="E8" s="6" t="n">
        <v>309188896.33</v>
      </c>
      <c r="F8" s="6" t="n">
        <v>203954322.9</v>
      </c>
      <c r="G8" s="6" t="n">
        <v>1507527.81</v>
      </c>
      <c r="H8" s="6" t="n">
        <v>3262677.32</v>
      </c>
      <c r="I8" s="6" t="n">
        <v>12671460.9</v>
      </c>
      <c r="J8" s="6" t="n">
        <v>2176918.65</v>
      </c>
    </row>
    <row r="9">
      <c r="A9" s="5" t="inlineStr">
        <is>
          <t>11452512</t>
        </is>
      </c>
      <c r="B9" s="5" t="inlineStr">
        <is>
          <t>ايرادات لوحات المحلات</t>
        </is>
      </c>
      <c r="C9" s="6" t="n">
        <v>235334700</v>
      </c>
      <c r="D9" s="6" t="n">
        <v>245643640</v>
      </c>
      <c r="E9" s="6" t="n">
        <v>206108511.99</v>
      </c>
      <c r="F9" s="6" t="n">
        <v>181886685.04</v>
      </c>
      <c r="G9" s="6" t="n">
        <v>3732890</v>
      </c>
      <c r="H9" s="6" t="n">
        <v>3707050</v>
      </c>
      <c r="I9" s="6" t="n">
        <v>4523545</v>
      </c>
      <c r="J9" s="6" t="n">
        <v>5842344.18</v>
      </c>
    </row>
    <row r="10">
      <c r="A10" s="5" t="inlineStr">
        <is>
          <t>11442</t>
        </is>
      </c>
      <c r="B10" s="5" t="inlineStr">
        <is>
          <t>اشغال مرافق الايواء</t>
        </is>
      </c>
      <c r="C10" s="6" t="n">
        <v>226255233.36</v>
      </c>
      <c r="D10" s="6" t="n">
        <v>265782264.81</v>
      </c>
      <c r="E10" s="6" t="n">
        <v>214388793.68</v>
      </c>
      <c r="F10" s="6" t="n">
        <v>150053045.05</v>
      </c>
      <c r="G10" s="6" t="n">
        <v>5474695.31</v>
      </c>
      <c r="H10" s="6" t="n">
        <v>10789260.17</v>
      </c>
      <c r="I10" s="6" t="n">
        <v>6643371.38</v>
      </c>
      <c r="J10" s="6" t="n">
        <v>6629902.01</v>
      </c>
    </row>
    <row r="11">
      <c r="A11" s="5" t="inlineStr">
        <is>
          <t>142162</t>
        </is>
      </c>
      <c r="B11" s="5" t="inlineStr">
        <is>
          <t>إيرادات  تأجير المرافق</t>
        </is>
      </c>
      <c r="C11" s="6" t="n">
        <v>33200365.92</v>
      </c>
      <c r="D11" s="6" t="n">
        <v>49511130.97</v>
      </c>
      <c r="E11" s="6" t="n">
        <v>30887735.58</v>
      </c>
      <c r="F11" s="6" t="n">
        <v>421494517.08</v>
      </c>
      <c r="G11" s="6" t="n">
        <v>414045</v>
      </c>
      <c r="H11" s="6" t="n">
        <v>4185896.67</v>
      </c>
      <c r="I11" s="6" t="n">
        <v>4184990.77</v>
      </c>
      <c r="J11" s="6" t="n">
        <v>9270986.33</v>
      </c>
    </row>
    <row r="12">
      <c r="A12" s="5" t="inlineStr">
        <is>
          <t>1421999</t>
        </is>
      </c>
      <c r="B12" s="5" t="inlineStr">
        <is>
          <t>مبيعات أخرى</t>
        </is>
      </c>
      <c r="C12" s="6" t="n">
        <v>139746712.86</v>
      </c>
      <c r="D12" s="6" t="n">
        <v>126943166.07</v>
      </c>
      <c r="E12" s="6" t="n">
        <v>57649813.43</v>
      </c>
      <c r="F12" s="6" t="n">
        <v>145179473.75</v>
      </c>
      <c r="G12" s="6" t="n">
        <v>12654406.26</v>
      </c>
      <c r="H12" s="6" t="n">
        <v>39806593.22</v>
      </c>
      <c r="I12" s="6" t="n">
        <v>16011104.69</v>
      </c>
      <c r="J12" s="6" t="n">
        <v>2521182.37</v>
      </c>
    </row>
    <row r="13">
      <c r="A13" s="5" t="inlineStr">
        <is>
          <t>144122</t>
        </is>
      </c>
      <c r="B13" s="5" t="inlineStr">
        <is>
          <t>إيرادات  متنوعه</t>
        </is>
      </c>
      <c r="C13" s="6" t="n">
        <v>9219073.48</v>
      </c>
      <c r="D13" s="6" t="n">
        <v>13582347.46</v>
      </c>
      <c r="E13" s="6" t="n">
        <v>78828800.53</v>
      </c>
      <c r="F13" s="6" t="n">
        <v>297191478.48</v>
      </c>
      <c r="G13" s="6" t="n">
        <v>722827.09</v>
      </c>
      <c r="H13" s="6" t="n">
        <v>551469.75</v>
      </c>
      <c r="I13" s="6" t="n">
        <v>1918938.67</v>
      </c>
      <c r="J13" s="6" t="n">
        <v>19305484.78</v>
      </c>
    </row>
    <row r="14">
      <c r="A14" s="5" t="inlineStr">
        <is>
          <t>1421911</t>
        </is>
      </c>
      <c r="B14" s="5" t="inlineStr">
        <is>
          <t>رسم مبيعات محلات تقديم منتجات التبغ</t>
        </is>
      </c>
      <c r="C14" s="6" t="n">
        <v>72701817.54000001</v>
      </c>
      <c r="D14" s="6" t="n">
        <v>140513661.33</v>
      </c>
      <c r="E14" s="6" t="n">
        <v>101287573.05</v>
      </c>
      <c r="F14" s="6" t="n">
        <v>78309014.93000001</v>
      </c>
      <c r="G14" s="6" t="n">
        <v>2364215.5</v>
      </c>
      <c r="H14" s="6" t="n">
        <v>1689112.21</v>
      </c>
      <c r="I14" s="6" t="n">
        <v>4167606.53</v>
      </c>
      <c r="J14" s="6" t="n">
        <v>2414078.01</v>
      </c>
    </row>
    <row r="15">
      <c r="A15" s="5" t="inlineStr">
        <is>
          <t>1421909</t>
        </is>
      </c>
      <c r="B15" s="5" t="inlineStr">
        <is>
          <t>جمع النفايات</t>
        </is>
      </c>
      <c r="C15" s="6" t="n">
        <v>81156665.08</v>
      </c>
      <c r="D15" s="6" t="n">
        <v>87441839.75</v>
      </c>
      <c r="E15" s="6" t="n">
        <v>79209685.56</v>
      </c>
      <c r="F15" s="6" t="n">
        <v>76301330.65000001</v>
      </c>
      <c r="G15" s="6" t="n">
        <v>1871186.45</v>
      </c>
      <c r="H15" s="6" t="n">
        <v>1828100.87</v>
      </c>
      <c r="I15" s="6" t="n">
        <v>1778808.27</v>
      </c>
      <c r="J15" s="6" t="n">
        <v>2912175.55</v>
      </c>
    </row>
    <row r="16">
      <c r="A16" s="5" t="inlineStr">
        <is>
          <t>11452105</t>
        </is>
      </c>
      <c r="B16" s="5" t="inlineStr">
        <is>
          <t>رسوم تراخيص حفر الشوارع</t>
        </is>
      </c>
      <c r="C16" s="6" t="n">
        <v>66565866.19</v>
      </c>
      <c r="D16" s="6" t="n">
        <v>65178247.05</v>
      </c>
      <c r="E16" s="6" t="n">
        <v>560490.41</v>
      </c>
      <c r="F16" s="6" t="n">
        <v>0</v>
      </c>
      <c r="G16" s="6" t="n">
        <v>319033.78</v>
      </c>
      <c r="H16" s="6" t="n">
        <v>289038.85</v>
      </c>
      <c r="I16" s="6" t="n">
        <v>74246.06</v>
      </c>
      <c r="J16" s="6" t="n">
        <v>1350</v>
      </c>
    </row>
    <row r="17">
      <c r="A17" s="5" t="inlineStr">
        <is>
          <t>11452108</t>
        </is>
      </c>
      <c r="B17" s="5" t="inlineStr">
        <is>
          <t>ايراد اصدار القرارات المساحية - أمانة منطقة الرياض</t>
        </is>
      </c>
      <c r="C17" s="6" t="n">
        <v>4391166.64</v>
      </c>
      <c r="D17" s="6" t="n">
        <v>19598327.65</v>
      </c>
      <c r="E17" s="6" t="n">
        <v>26544701.29</v>
      </c>
      <c r="F17" s="6" t="n">
        <v>31807755.11</v>
      </c>
      <c r="G17" s="6" t="n">
        <v>31103</v>
      </c>
      <c r="H17" s="6" t="n">
        <v>106057.75</v>
      </c>
      <c r="I17" s="6" t="n">
        <v>364687.58</v>
      </c>
      <c r="J17" s="6" t="n">
        <v>2326052.14</v>
      </c>
    </row>
    <row r="18">
      <c r="A18" s="5" t="inlineStr">
        <is>
          <t>1422108</t>
        </is>
      </c>
      <c r="B18" s="5" t="inlineStr">
        <is>
          <t>الشهادات الصحية</t>
        </is>
      </c>
      <c r="C18" s="6" t="n">
        <v>19375523.29</v>
      </c>
      <c r="D18" s="6" t="n">
        <v>13396724.24</v>
      </c>
      <c r="E18" s="6" t="n">
        <v>25250138.75</v>
      </c>
      <c r="F18" s="6" t="n">
        <v>21432048.85</v>
      </c>
      <c r="G18" s="6" t="n">
        <v>1893132.74</v>
      </c>
      <c r="H18" s="6" t="n">
        <v>472946.84</v>
      </c>
      <c r="I18" s="6" t="n">
        <v>1049260.99</v>
      </c>
      <c r="J18" s="6" t="n">
        <v>202309.67</v>
      </c>
    </row>
    <row r="19">
      <c r="A19" s="5" t="inlineStr">
        <is>
          <t>1422121</t>
        </is>
      </c>
      <c r="B19" s="5" t="inlineStr">
        <is>
          <t>رسم ترخيص نشاط تقديم منتجات التبغ</t>
        </is>
      </c>
      <c r="C19" s="6" t="n">
        <v>16817800</v>
      </c>
      <c r="D19" s="6" t="n">
        <v>16115000</v>
      </c>
      <c r="E19" s="6" t="n">
        <v>15767478.8</v>
      </c>
      <c r="F19" s="6" t="n">
        <v>13744093.5</v>
      </c>
      <c r="G19" s="6" t="n">
        <v>170000</v>
      </c>
      <c r="H19" s="6" t="n">
        <v>2095000</v>
      </c>
      <c r="I19" s="6" t="n">
        <v>445000</v>
      </c>
      <c r="J19" s="6" t="n">
        <v>563914.51</v>
      </c>
    </row>
    <row r="20">
      <c r="A20" s="5" t="inlineStr">
        <is>
          <t>بدون رقم</t>
        </is>
      </c>
      <c r="B20" s="5" t="inlineStr">
        <is>
          <t>بدون رقم (خدمات علم + جزاءات)</t>
        </is>
      </c>
      <c r="C20" s="6" t="n">
        <v>4834590</v>
      </c>
      <c r="D20" s="6" t="n">
        <v>14372921.25</v>
      </c>
      <c r="E20" s="6" t="n">
        <v>21894648.75</v>
      </c>
      <c r="F20" s="6" t="n">
        <v>21614573.75</v>
      </c>
      <c r="G20" s="6" t="n">
        <v>25478.75</v>
      </c>
      <c r="H20" s="6" t="n">
        <v>47212.5</v>
      </c>
      <c r="I20" s="6" t="n">
        <v>143111.25</v>
      </c>
      <c r="J20" s="6" t="n">
        <v>223263.75</v>
      </c>
    </row>
    <row r="21">
      <c r="A21" s="5" t="inlineStr">
        <is>
          <t>142163</t>
        </is>
      </c>
      <c r="B21" s="5" t="inlineStr">
        <is>
          <t>إيرادات  تأجير مباني تجارية</t>
        </is>
      </c>
      <c r="C21" s="6" t="n">
        <v>8085858</v>
      </c>
      <c r="D21" s="6" t="n">
        <v>6095216.75</v>
      </c>
      <c r="E21" s="6" t="n">
        <v>3675127.5</v>
      </c>
      <c r="F21" s="6" t="n">
        <v>9088249.050000001</v>
      </c>
      <c r="G21" s="6" t="n">
        <v>962397.9300000001</v>
      </c>
      <c r="H21" s="6" t="n">
        <v>1449039.5</v>
      </c>
      <c r="I21" s="6" t="n">
        <v>1243619.25</v>
      </c>
      <c r="J21" s="6" t="n">
        <v>3222365.71</v>
      </c>
    </row>
    <row r="22">
      <c r="A22" s="5" t="inlineStr">
        <is>
          <t>1422109</t>
        </is>
      </c>
      <c r="B22" s="5" t="inlineStr">
        <is>
          <t>ايرادات  الكشفية</t>
        </is>
      </c>
      <c r="C22" s="6" t="n">
        <v>9441840.73</v>
      </c>
      <c r="D22" s="6" t="n">
        <v>9503239.65</v>
      </c>
      <c r="E22" s="6" t="n">
        <v>7617004.28</v>
      </c>
      <c r="F22" s="6" t="n">
        <v>6172791.57</v>
      </c>
      <c r="G22" s="6" t="n">
        <v>155319.35</v>
      </c>
      <c r="H22" s="6" t="n">
        <v>90130</v>
      </c>
      <c r="I22" s="6" t="n">
        <v>87207.50999999999</v>
      </c>
      <c r="J22" s="6" t="n">
        <v>159206.88</v>
      </c>
    </row>
    <row r="23">
      <c r="A23" s="5" t="inlineStr">
        <is>
          <t>11452111</t>
        </is>
      </c>
      <c r="B23" s="5" t="inlineStr">
        <is>
          <t>المقابل المالي للسماح للأنشطة التجارية بالعمل (24) ساعة</t>
        </is>
      </c>
      <c r="C23" s="6" t="n">
        <v>6029932.4</v>
      </c>
      <c r="D23" s="6" t="n">
        <v>5182284.58</v>
      </c>
      <c r="E23" s="6" t="n">
        <v>5989835.57</v>
      </c>
      <c r="F23" s="6" t="n">
        <v>11838949.26</v>
      </c>
      <c r="G23" s="6" t="n">
        <v>47804.3</v>
      </c>
      <c r="H23" s="6" t="n">
        <v>45780.61</v>
      </c>
      <c r="I23" s="6" t="n">
        <v>61374.59</v>
      </c>
      <c r="J23" s="6" t="n">
        <v>267274.16</v>
      </c>
    </row>
    <row r="24">
      <c r="A24" s="5" t="inlineStr">
        <is>
          <t>1421910</t>
        </is>
      </c>
      <c r="B24" s="5" t="inlineStr">
        <is>
          <t>اصدار تراخيص اشغال الارصفة العامة و الطرق</t>
        </is>
      </c>
      <c r="C24" s="6" t="n">
        <v>3769312.51</v>
      </c>
      <c r="D24" s="6" t="n">
        <v>2921517.06</v>
      </c>
      <c r="E24" s="6" t="n">
        <v>3529618.23</v>
      </c>
      <c r="F24" s="6" t="n">
        <v>3571838.39</v>
      </c>
      <c r="G24" s="6" t="n">
        <v>84268.85000000001</v>
      </c>
      <c r="H24" s="6" t="n">
        <v>24904.75</v>
      </c>
      <c r="I24" s="6" t="n">
        <v>37009.2</v>
      </c>
      <c r="J24" s="6" t="n">
        <v>88952.23</v>
      </c>
    </row>
    <row r="25">
      <c r="A25" s="5" t="inlineStr">
        <is>
          <t>1439</t>
        </is>
      </c>
      <c r="B25" s="5" t="inlineStr">
        <is>
          <t>ايرادات  مبيعات  ناتجه من النشاط غير مصنفة</t>
        </is>
      </c>
      <c r="C25" s="6" t="n">
        <v>3533600</v>
      </c>
      <c r="D25" s="6" t="n">
        <v>255186</v>
      </c>
      <c r="E25" s="6" t="n">
        <v>8503508</v>
      </c>
      <c r="F25" s="6" t="n">
        <v>519000</v>
      </c>
      <c r="G25" s="6" t="n">
        <v>3500</v>
      </c>
      <c r="H25" s="6" t="n">
        <v>1000</v>
      </c>
      <c r="I25" s="6" t="n">
        <v>0</v>
      </c>
      <c r="J25" s="6" t="n">
        <v>0</v>
      </c>
    </row>
    <row r="26">
      <c r="A26" s="5" t="inlineStr">
        <is>
          <t>1421901</t>
        </is>
      </c>
      <c r="B26" s="5" t="inlineStr">
        <is>
          <t>بيع الوثائق والأنظمة</t>
        </is>
      </c>
      <c r="C26" s="6" t="n">
        <v>2937506</v>
      </c>
      <c r="D26" s="6" t="n">
        <v>2737695</v>
      </c>
      <c r="E26" s="6" t="n">
        <v>2503277</v>
      </c>
      <c r="F26" s="6" t="n">
        <v>1852136</v>
      </c>
      <c r="G26" s="6" t="n">
        <v>7500</v>
      </c>
      <c r="H26" s="6" t="n">
        <v>16100</v>
      </c>
      <c r="I26" s="6" t="n">
        <v>17200</v>
      </c>
      <c r="J26" s="6" t="n">
        <v>8100</v>
      </c>
    </row>
    <row r="27">
      <c r="A27" s="5" t="inlineStr">
        <is>
          <t>1421903</t>
        </is>
      </c>
      <c r="B27" s="5" t="inlineStr">
        <is>
          <t>مبيعات التيار الكهربائي</t>
        </is>
      </c>
      <c r="C27" s="6" t="n">
        <v>0</v>
      </c>
      <c r="D27" s="6" t="n">
        <v>0</v>
      </c>
      <c r="E27" s="6" t="n">
        <v>8083209.81</v>
      </c>
      <c r="F27" s="6" t="n">
        <v>170710.39</v>
      </c>
      <c r="G27" s="6" t="n">
        <v>0</v>
      </c>
      <c r="H27" s="6" t="n">
        <v>0</v>
      </c>
      <c r="I27" s="6" t="n">
        <v>0</v>
      </c>
      <c r="J27" s="6" t="n">
        <v>131317.26</v>
      </c>
    </row>
    <row r="28">
      <c r="A28" s="5" t="inlineStr">
        <is>
          <t>1438</t>
        </is>
      </c>
      <c r="B28" s="5" t="inlineStr">
        <is>
          <t>جزاءات وغرامات مفروضة بموجب أنظمة الجهة</t>
        </is>
      </c>
      <c r="C28" s="6" t="n">
        <v>5975450</v>
      </c>
      <c r="D28" s="6" t="n">
        <v>0</v>
      </c>
      <c r="E28" s="6" t="n">
        <v>0</v>
      </c>
      <c r="F28" s="6" t="n">
        <v>0</v>
      </c>
      <c r="G28" s="6" t="n">
        <v>905753</v>
      </c>
      <c r="H28" s="6" t="n">
        <v>486100</v>
      </c>
      <c r="I28" s="6" t="n">
        <v>352900</v>
      </c>
      <c r="J28" s="6" t="n">
        <v>59500</v>
      </c>
    </row>
    <row r="29">
      <c r="A29" s="5" t="inlineStr">
        <is>
          <t>1421912</t>
        </is>
      </c>
      <c r="B29" s="5" t="inlineStr">
        <is>
          <t>تأجير العقارات لأغراض مؤقته</t>
        </is>
      </c>
      <c r="C29" s="6" t="n">
        <v>836002.1899999999</v>
      </c>
      <c r="D29" s="6" t="n">
        <v>2053263.42</v>
      </c>
      <c r="E29" s="6" t="n">
        <v>2450880.59</v>
      </c>
      <c r="F29" s="6" t="n">
        <v>1444704.96</v>
      </c>
      <c r="G29" s="6" t="n">
        <v>2418</v>
      </c>
      <c r="H29" s="6" t="n">
        <v>0</v>
      </c>
      <c r="I29" s="6" t="n">
        <v>9422.92</v>
      </c>
      <c r="J29" s="6" t="n">
        <v>3150</v>
      </c>
    </row>
    <row r="30">
      <c r="A30" s="5" t="inlineStr">
        <is>
          <t>11452106</t>
        </is>
      </c>
      <c r="B30" s="5" t="inlineStr">
        <is>
          <t>اصدار التراخيص بتأسيس أو تشغيل ابراج الاتصالات</t>
        </is>
      </c>
      <c r="C30" s="6" t="n">
        <v>989500</v>
      </c>
      <c r="D30" s="6" t="n">
        <v>1458100</v>
      </c>
      <c r="E30" s="6" t="n">
        <v>1498900</v>
      </c>
      <c r="F30" s="6" t="n">
        <v>323000</v>
      </c>
      <c r="G30" s="6" t="n">
        <v>17600</v>
      </c>
      <c r="H30" s="6" t="n">
        <v>112000</v>
      </c>
      <c r="I30" s="6" t="n">
        <v>91100</v>
      </c>
      <c r="J30" s="6" t="n">
        <v>153400</v>
      </c>
    </row>
    <row r="31">
      <c r="A31" s="5" t="inlineStr">
        <is>
          <t>11452110</t>
        </is>
      </c>
      <c r="B31" s="5" t="inlineStr">
        <is>
          <t>إصدار تراخيص إستخدام أملاك خاصة لإقامة فعاليات</t>
        </is>
      </c>
      <c r="C31" s="6" t="n">
        <v>900053.05</v>
      </c>
      <c r="D31" s="6" t="n">
        <v>804465.15</v>
      </c>
      <c r="E31" s="6" t="n">
        <v>816539.9300000001</v>
      </c>
      <c r="F31" s="6" t="n">
        <v>631902.8</v>
      </c>
      <c r="G31" s="6" t="n">
        <v>74951</v>
      </c>
      <c r="H31" s="6" t="n">
        <v>234324.1</v>
      </c>
      <c r="I31" s="6" t="n">
        <v>197903.29</v>
      </c>
      <c r="J31" s="6" t="n">
        <v>14942.32</v>
      </c>
    </row>
    <row r="32">
      <c r="A32" s="5" t="inlineStr">
        <is>
          <t>141229</t>
        </is>
      </c>
      <c r="B32" s="5" t="inlineStr">
        <is>
          <t>أرباح أخرى</t>
        </is>
      </c>
      <c r="C32" s="6" t="n">
        <v>1070572</v>
      </c>
      <c r="D32" s="6" t="n">
        <v>2100000</v>
      </c>
      <c r="E32" s="6" t="n">
        <v>0</v>
      </c>
      <c r="F32" s="6" t="n">
        <v>0</v>
      </c>
      <c r="G32" s="6" t="n">
        <v>40000</v>
      </c>
      <c r="H32" s="6" t="n">
        <v>120000</v>
      </c>
      <c r="I32" s="6" t="n">
        <v>30000</v>
      </c>
      <c r="J32" s="6" t="n">
        <v>60000</v>
      </c>
    </row>
    <row r="33">
      <c r="A33" s="5" t="inlineStr">
        <is>
          <t>11452109</t>
        </is>
      </c>
      <c r="B33" s="5" t="inlineStr">
        <is>
          <t>اعتماد مخططات التطوير العقاري</t>
        </is>
      </c>
      <c r="C33" s="6" t="n">
        <v>1309274.5</v>
      </c>
      <c r="D33" s="6" t="n">
        <v>1328839.22</v>
      </c>
      <c r="E33" s="6" t="n">
        <v>590496.73</v>
      </c>
      <c r="F33" s="6" t="n">
        <v>0</v>
      </c>
      <c r="G33" s="6" t="n">
        <v>2300</v>
      </c>
      <c r="H33" s="6" t="n">
        <v>1800</v>
      </c>
      <c r="I33" s="6" t="n">
        <v>1900</v>
      </c>
      <c r="J33" s="6" t="n">
        <v>100</v>
      </c>
    </row>
    <row r="34">
      <c r="A34" s="5" t="inlineStr">
        <is>
          <t>11452107</t>
        </is>
      </c>
      <c r="B34" s="5" t="inlineStr">
        <is>
          <t>اصدار التراخيص بتأسيس أو تشغيل الصراف الآلي</t>
        </is>
      </c>
      <c r="C34" s="6" t="n">
        <v>49000</v>
      </c>
      <c r="D34" s="6" t="n">
        <v>92000</v>
      </c>
      <c r="E34" s="6" t="n">
        <v>234273.52</v>
      </c>
      <c r="F34" s="6" t="n">
        <v>193711.09</v>
      </c>
      <c r="G34" s="6" t="n">
        <v>5000</v>
      </c>
      <c r="H34" s="6" t="n">
        <v>0</v>
      </c>
      <c r="I34" s="6" t="n">
        <v>2000</v>
      </c>
      <c r="J34" s="6" t="n">
        <v>6473.52</v>
      </c>
    </row>
    <row r="35">
      <c r="A35" s="5" t="inlineStr">
        <is>
          <t>3318212</t>
        </is>
      </c>
      <c r="B35" s="5" t="inlineStr">
        <is>
          <t>مرتجع رواتب - فواتير</t>
        </is>
      </c>
      <c r="C35" s="6" t="n">
        <v>0</v>
      </c>
      <c r="D35" s="6" t="n">
        <v>0</v>
      </c>
      <c r="E35" s="6" t="n">
        <v>152767.79</v>
      </c>
      <c r="F35" s="6" t="n">
        <v>361665.23</v>
      </c>
      <c r="G35" s="6" t="n">
        <v>0</v>
      </c>
      <c r="H35" s="6" t="n">
        <v>0</v>
      </c>
      <c r="I35" s="6" t="n">
        <v>0</v>
      </c>
      <c r="J35" s="6" t="n">
        <v>0</v>
      </c>
    </row>
    <row r="36">
      <c r="A36" s="5" t="inlineStr">
        <is>
          <t>11422</t>
        </is>
      </c>
      <c r="B36" s="5" t="inlineStr">
        <is>
          <t>رسوم منتجات التبغ</t>
        </is>
      </c>
      <c r="C36" s="6" t="n">
        <v>3000</v>
      </c>
      <c r="D36" s="6" t="n">
        <v>5167</v>
      </c>
      <c r="E36" s="6" t="n">
        <v>45000</v>
      </c>
      <c r="F36" s="6" t="n">
        <v>0</v>
      </c>
      <c r="G36" s="6" t="n">
        <v>24000</v>
      </c>
      <c r="H36" s="6" t="n">
        <v>0</v>
      </c>
      <c r="I36" s="6" t="n">
        <v>27000</v>
      </c>
      <c r="J36" s="6" t="n">
        <v>0</v>
      </c>
    </row>
    <row r="37">
      <c r="A37" s="5" t="inlineStr">
        <is>
          <t>1422103</t>
        </is>
      </c>
      <c r="B37" s="5" t="inlineStr">
        <is>
          <t>تراخيص المحلات</t>
        </is>
      </c>
      <c r="C37" s="6" t="n">
        <v>0</v>
      </c>
      <c r="D37" s="6" t="n">
        <v>0</v>
      </c>
      <c r="E37" s="6" t="n">
        <v>0</v>
      </c>
      <c r="F37" s="6" t="n">
        <v>0</v>
      </c>
      <c r="G37" s="6" t="n">
        <v>67711.60000000001</v>
      </c>
      <c r="H37" s="6" t="n">
        <v>16269.6</v>
      </c>
      <c r="I37" s="6" t="n">
        <v>1603.2</v>
      </c>
      <c r="J37" s="6" t="n">
        <v>432</v>
      </c>
    </row>
    <row r="38">
      <c r="A38" s="5" t="inlineStr">
        <is>
          <t>11452513</t>
        </is>
      </c>
      <c r="B38" s="5" t="inlineStr">
        <is>
          <t>لوحات إرشـادية</t>
        </is>
      </c>
      <c r="C38" s="6" t="n">
        <v>0</v>
      </c>
      <c r="D38" s="6" t="n">
        <v>0</v>
      </c>
      <c r="E38" s="6" t="n">
        <v>0</v>
      </c>
      <c r="F38" s="6" t="n">
        <v>0</v>
      </c>
      <c r="G38" s="6" t="n">
        <v>55525</v>
      </c>
      <c r="H38" s="6" t="n">
        <v>12875</v>
      </c>
      <c r="I38" s="6" t="n">
        <v>9000</v>
      </c>
      <c r="J38" s="6" t="n">
        <v>600</v>
      </c>
    </row>
    <row r="39">
      <c r="A39" s="5" t="inlineStr">
        <is>
          <t>1421907</t>
        </is>
      </c>
      <c r="B39" s="5" t="inlineStr">
        <is>
          <t>إيرادات المخططات</t>
        </is>
      </c>
      <c r="C39" s="6" t="n">
        <v>0</v>
      </c>
      <c r="D39" s="6" t="n">
        <v>0</v>
      </c>
      <c r="E39" s="6" t="n">
        <v>21950</v>
      </c>
      <c r="F39" s="6" t="n">
        <v>6250</v>
      </c>
      <c r="G39" s="6" t="n">
        <v>0</v>
      </c>
      <c r="H39" s="6" t="n">
        <v>0</v>
      </c>
      <c r="I39" s="6" t="n">
        <v>0</v>
      </c>
      <c r="J39" s="6" t="n">
        <v>100</v>
      </c>
    </row>
    <row r="40">
      <c r="A40" s="5" t="inlineStr">
        <is>
          <t>1421908</t>
        </is>
      </c>
      <c r="B40" s="5" t="inlineStr">
        <is>
          <t>ايرادات  رسوم خدمات  بلدية</t>
        </is>
      </c>
      <c r="C40" s="6" t="n">
        <v>16385</v>
      </c>
      <c r="D40" s="6" t="n">
        <v>0</v>
      </c>
      <c r="E40" s="6" t="n">
        <v>0</v>
      </c>
      <c r="F40" s="6" t="n">
        <v>0</v>
      </c>
      <c r="G40" s="6" t="n">
        <v>0</v>
      </c>
      <c r="H40" s="6" t="n">
        <v>0</v>
      </c>
      <c r="I40" s="6" t="n">
        <v>0</v>
      </c>
      <c r="J40" s="6" t="n">
        <v>0</v>
      </c>
    </row>
    <row r="41">
      <c r="A41" s="5" t="inlineStr">
        <is>
          <t>142161</t>
        </is>
      </c>
      <c r="B41" s="5" t="inlineStr">
        <is>
          <t>تاجير مباني سكنية</t>
        </is>
      </c>
      <c r="C41" s="6" t="n">
        <v>0</v>
      </c>
      <c r="D41" s="6" t="n">
        <v>0</v>
      </c>
      <c r="E41" s="6" t="n">
        <v>0</v>
      </c>
      <c r="F41" s="6" t="n">
        <v>0</v>
      </c>
      <c r="G41" s="6" t="n">
        <v>0</v>
      </c>
      <c r="H41" s="6" t="n">
        <v>0</v>
      </c>
      <c r="I41" s="6" t="n">
        <v>6000</v>
      </c>
      <c r="J41" s="6" t="n">
        <v>0</v>
      </c>
    </row>
    <row r="42">
      <c r="A42" s="8" t="n"/>
      <c r="B42" s="8" t="inlineStr">
        <is>
          <t>الإجمالي</t>
        </is>
      </c>
      <c r="C42" s="9">
        <f>SUM(C4:C41)</f>
        <v/>
      </c>
      <c r="D42" s="9">
        <f>SUM(D4:D41)</f>
        <v/>
      </c>
      <c r="E42" s="9">
        <f>SUM(E4:E41)</f>
        <v/>
      </c>
      <c r="F42" s="9">
        <f>SUM(F4:F41)</f>
        <v/>
      </c>
      <c r="G42" s="9">
        <f>SUM(G4:G41)</f>
        <v/>
      </c>
      <c r="H42" s="9">
        <f>SUM(H4:H41)</f>
        <v/>
      </c>
      <c r="I42" s="9">
        <f>SUM(I4:I41)</f>
        <v/>
      </c>
      <c r="J42" s="9">
        <f>SUM(J4:J41)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18" customWidth="1" min="3" max="3"/>
    <col width="9" customWidth="1" min="4" max="4"/>
    <col width="16" customWidth="1" min="5" max="5"/>
    <col width="16" customWidth="1" min="6" max="6"/>
    <col width="16" customWidth="1" min="7" max="7"/>
    <col width="18" customWidth="1" min="8" max="8"/>
    <col width="16" customWidth="1" min="9" max="9"/>
    <col width="18" customWidth="1" min="10" max="10"/>
    <col width="20" customWidth="1" min="11" max="11"/>
    <col width="14" customWidth="1" min="12" max="12"/>
    <col width="18" customWidth="1" min="13" max="13"/>
    <col width="16" customWidth="1" min="14" max="14"/>
  </cols>
  <sheetData>
    <row r="1">
      <c r="A1" s="1" t="inlineStr">
        <is>
          <t>توقع إقفال 2026 كمحصّل فعلي (مسدد عن السنة + محصل سنوات سابقة)</t>
        </is>
      </c>
    </row>
    <row r="2">
      <c r="A2" s="11" t="inlineStr">
        <is>
          <t>توقع 2026 = المحصل الفعلي حتى سبتمبر × معامل الافتراضات (12÷9). الحسابات المتوقفة في 2026 (لا فوترة ولا تحصيل) توقعها صفر. الضريبة مستبعدة.</t>
        </is>
      </c>
    </row>
    <row r="3" ht="42" customHeight="1">
      <c r="A3" s="4" t="inlineStr">
        <is>
          <t>رقم الحساب</t>
        </is>
      </c>
      <c r="B3" s="4" t="inlineStr">
        <is>
          <t>اسم الحساب</t>
        </is>
      </c>
      <c r="C3" s="4" t="inlineStr">
        <is>
          <t>التبويب</t>
        </is>
      </c>
      <c r="D3" s="4" t="inlineStr">
        <is>
          <t>الحالة</t>
        </is>
      </c>
      <c r="E3" s="4" t="inlineStr">
        <is>
          <t>2023 محصّل</t>
        </is>
      </c>
      <c r="F3" s="4" t="inlineStr">
        <is>
          <t>2024 محصّل</t>
        </is>
      </c>
      <c r="G3" s="4" t="inlineStr">
        <is>
          <t>2025 محصّل</t>
        </is>
      </c>
      <c r="H3" s="4" t="inlineStr">
        <is>
          <t>2026 محصّل حتى سبتمبر</t>
        </is>
      </c>
      <c r="I3" s="4" t="inlineStr">
        <is>
          <t>منه: مسدد عن 2026</t>
        </is>
      </c>
      <c r="J3" s="4" t="inlineStr">
        <is>
          <t>منه: محصل سنوات سابقة</t>
        </is>
      </c>
      <c r="K3" s="4" t="inlineStr">
        <is>
          <t>2026 توقع إقفال (محصّل)</t>
        </is>
      </c>
      <c r="L3" s="4" t="inlineStr">
        <is>
          <t>نمو التوقع عن 2025</t>
        </is>
      </c>
      <c r="M3" s="4" t="inlineStr">
        <is>
          <t>توقع الفوترة 2026</t>
        </is>
      </c>
      <c r="N3" s="4" t="inlineStr">
        <is>
          <t>نسبة المحصّل إلى المفوتر (توقع)</t>
        </is>
      </c>
    </row>
    <row r="4">
      <c r="A4" s="5" t="inlineStr">
        <is>
          <t>1438001</t>
        </is>
      </c>
      <c r="B4" s="5" t="inlineStr">
        <is>
          <t>جزاءات و غرامات مفروضة بموجب أنظمة الجهة</t>
        </is>
      </c>
      <c r="C4" s="5" t="inlineStr">
        <is>
          <t>جزاءات وغرامات</t>
        </is>
      </c>
      <c r="D4" s="5">
        <f>IF(AND(1065200061.32=0,370612328.79=0),"متوقف","نشط")</f>
        <v/>
      </c>
      <c r="E4" s="6" t="n">
        <v>459891610.83</v>
      </c>
      <c r="F4" s="6" t="n">
        <v>303585685.79</v>
      </c>
      <c r="G4" s="6" t="n">
        <v>308012204.69</v>
      </c>
      <c r="H4" s="6" t="n">
        <v>370612328.79</v>
      </c>
      <c r="I4" s="6" t="n">
        <v>204559511.42</v>
      </c>
      <c r="J4" s="6" t="n">
        <v>166052817.37</v>
      </c>
      <c r="K4" s="6">
        <f>IF(D4="متوقف",0,H4*الافتراضات!$B$4)</f>
        <v/>
      </c>
      <c r="L4" s="7">
        <f>IF(G4=0,"",K4/G4-1)</f>
        <v/>
      </c>
      <c r="M4" s="6">
        <f>IFERROR(VLOOKUP(A4,التوقعات!$A$4:$I$41,9,FALSE),0)</f>
        <v/>
      </c>
      <c r="N4" s="7">
        <f>IF(M4=0,"",K4/M4)</f>
        <v/>
      </c>
    </row>
    <row r="5">
      <c r="A5" s="5" t="inlineStr">
        <is>
          <t>14155</t>
        </is>
      </c>
      <c r="B5" s="5" t="inlineStr">
        <is>
          <t>ريع الأراضي (تأجير الأراض )</t>
        </is>
      </c>
      <c r="C5" s="5" t="inlineStr">
        <is>
          <t>إيرادات إستثمارية</t>
        </is>
      </c>
      <c r="D5" s="5">
        <f>IF(AND(803599432.03=0,612889120.88=0),"متوقف","نشط")</f>
        <v/>
      </c>
      <c r="E5" s="6" t="n">
        <v>779186906.26</v>
      </c>
      <c r="F5" s="6" t="n">
        <v>803323461.12</v>
      </c>
      <c r="G5" s="6" t="n">
        <v>649331791.52</v>
      </c>
      <c r="H5" s="6" t="n">
        <v>612889120.88</v>
      </c>
      <c r="I5" s="6" t="n">
        <v>453484669.92</v>
      </c>
      <c r="J5" s="6" t="n">
        <v>159404450.96</v>
      </c>
      <c r="K5" s="6">
        <f>IF(D5="متوقف",0,H5*الافتراضات!$B$4)</f>
        <v/>
      </c>
      <c r="L5" s="7">
        <f>IF(G5=0,"",K5/G5-1)</f>
        <v/>
      </c>
      <c r="M5" s="6">
        <f>IFERROR(VLOOKUP(A5,التوقعات!$A$4:$I$41,9,FALSE),0)</f>
        <v/>
      </c>
      <c r="N5" s="7">
        <f>IF(M5=0,"",K5/M5)</f>
        <v/>
      </c>
    </row>
    <row r="6">
      <c r="A6" s="5" t="inlineStr">
        <is>
          <t>142113</t>
        </is>
      </c>
      <c r="B6" s="5" t="inlineStr">
        <is>
          <t>ايرادات  اللوحات الدعائية</t>
        </is>
      </c>
      <c r="C6" s="5" t="inlineStr">
        <is>
          <t>الرسوم والتراخيص</t>
        </is>
      </c>
      <c r="D6" s="5">
        <f>IF(AND(126475270.21=0,122031767.73=0),"متوقف","نشط")</f>
        <v/>
      </c>
      <c r="E6" s="6" t="n">
        <v>157946538.8</v>
      </c>
      <c r="F6" s="6" t="n">
        <v>609523702.9299999</v>
      </c>
      <c r="G6" s="6" t="n">
        <v>103589976.04</v>
      </c>
      <c r="H6" s="6" t="n">
        <v>122031767.73</v>
      </c>
      <c r="I6" s="6" t="n">
        <v>84830327.73</v>
      </c>
      <c r="J6" s="6" t="n">
        <v>37201440</v>
      </c>
      <c r="K6" s="6">
        <f>IF(D6="متوقف",0,H6*الافتراضات!$B$4)</f>
        <v/>
      </c>
      <c r="L6" s="7">
        <f>IF(G6=0,"",K6/G6-1)</f>
        <v/>
      </c>
      <c r="M6" s="6">
        <f>IFERROR(VLOOKUP(A6,التوقعات!$A$4:$I$41,9,FALSE),0)</f>
        <v/>
      </c>
      <c r="N6" s="7">
        <f>IF(M6=0,"",K6/M6)</f>
        <v/>
      </c>
    </row>
    <row r="7">
      <c r="A7" s="5" t="inlineStr">
        <is>
          <t>11452104</t>
        </is>
      </c>
      <c r="B7" s="5" t="inlineStr">
        <is>
          <t>إصدار رخص الأنشطة التجارية</t>
        </is>
      </c>
      <c r="C7" s="5" t="inlineStr">
        <is>
          <t>الرسوم والتراخيص</t>
        </is>
      </c>
      <c r="D7" s="5">
        <f>IF(AND(266305026.42=0,250375647.47=0),"متوقف","نشط")</f>
        <v/>
      </c>
      <c r="E7" s="6" t="n">
        <v>260667489.98</v>
      </c>
      <c r="F7" s="6" t="n">
        <v>276275913.44</v>
      </c>
      <c r="G7" s="6" t="n">
        <v>267496278.85</v>
      </c>
      <c r="H7" s="6" t="n">
        <v>250375647.47</v>
      </c>
      <c r="I7" s="6" t="n">
        <v>242883840.52</v>
      </c>
      <c r="J7" s="6" t="n">
        <v>7491806.95</v>
      </c>
      <c r="K7" s="6">
        <f>IF(D7="متوقف",0,H7*الافتراضات!$B$4)</f>
        <v/>
      </c>
      <c r="L7" s="7">
        <f>IF(G7=0,"",K7/G7-1)</f>
        <v/>
      </c>
      <c r="M7" s="6">
        <f>IFERROR(VLOOKUP(A7,التوقعات!$A$4:$I$41,9,FALSE),0)</f>
        <v/>
      </c>
      <c r="N7" s="7">
        <f>IF(M7=0,"",K7/M7)</f>
        <v/>
      </c>
    </row>
    <row r="8">
      <c r="A8" s="5" t="inlineStr">
        <is>
          <t>11452103</t>
        </is>
      </c>
      <c r="B8" s="5" t="inlineStr">
        <is>
          <t>ايراد اصدار تراخيص المباني والاسوار - أمانة منطقة الرياض</t>
        </is>
      </c>
      <c r="C8" s="5" t="inlineStr">
        <is>
          <t>الرسوم والتراخيص</t>
        </is>
      </c>
      <c r="D8" s="5">
        <f>IF(AND(206131241.55=0,204002823.21=0),"متوقف","نشط")</f>
        <v/>
      </c>
      <c r="E8" s="6" t="n">
        <v>224939645.24</v>
      </c>
      <c r="F8" s="6" t="n">
        <v>244582493.3</v>
      </c>
      <c r="G8" s="6" t="n">
        <v>319675274.54</v>
      </c>
      <c r="H8" s="6" t="n">
        <v>204002823.21</v>
      </c>
      <c r="I8" s="6" t="n">
        <v>201825904.56</v>
      </c>
      <c r="J8" s="6" t="n">
        <v>2176918.65</v>
      </c>
      <c r="K8" s="6">
        <f>IF(D8="متوقف",0,H8*الافتراضات!$B$4)</f>
        <v/>
      </c>
      <c r="L8" s="7">
        <f>IF(G8=0,"",K8/G8-1)</f>
        <v/>
      </c>
      <c r="M8" s="6">
        <f>IFERROR(VLOOKUP(A8,التوقعات!$A$4:$I$41,9,FALSE),0)</f>
        <v/>
      </c>
      <c r="N8" s="7">
        <f>IF(M8=0,"",K8/M8)</f>
        <v/>
      </c>
    </row>
    <row r="9">
      <c r="A9" s="5" t="inlineStr">
        <is>
          <t>11452512</t>
        </is>
      </c>
      <c r="B9" s="5" t="inlineStr">
        <is>
          <t>ايرادات لوحات المحلات</t>
        </is>
      </c>
      <c r="C9" s="5" t="inlineStr">
        <is>
          <t>الرسوم والتراخيص</t>
        </is>
      </c>
      <c r="D9" s="5">
        <f>IF(AND(187729029.22=0,174294501.5=0),"متوقف","نشط")</f>
        <v/>
      </c>
      <c r="E9" s="6" t="n">
        <v>218503365</v>
      </c>
      <c r="F9" s="6" t="n">
        <v>219218740</v>
      </c>
      <c r="G9" s="6" t="n">
        <v>193830778.44</v>
      </c>
      <c r="H9" s="6" t="n">
        <v>174294501.5</v>
      </c>
      <c r="I9" s="6" t="n">
        <v>168452157.32</v>
      </c>
      <c r="J9" s="6" t="n">
        <v>5842344.18</v>
      </c>
      <c r="K9" s="6">
        <f>IF(D9="متوقف",0,H9*الافتراضات!$B$4)</f>
        <v/>
      </c>
      <c r="L9" s="7">
        <f>IF(G9=0,"",K9/G9-1)</f>
        <v/>
      </c>
      <c r="M9" s="6">
        <f>IFERROR(VLOOKUP(A9,التوقعات!$A$4:$I$41,9,FALSE),0)</f>
        <v/>
      </c>
      <c r="N9" s="7">
        <f>IF(M9=0,"",K9/M9)</f>
        <v/>
      </c>
    </row>
    <row r="10">
      <c r="A10" s="5" t="inlineStr">
        <is>
          <t>11442</t>
        </is>
      </c>
      <c r="B10" s="5" t="inlineStr">
        <is>
          <t>اشغال مرافق الايواء</t>
        </is>
      </c>
      <c r="C10" s="5" t="inlineStr">
        <is>
          <t>التبغ والإيواء</t>
        </is>
      </c>
      <c r="D10" s="5">
        <f>IF(AND(156682947.06=0,136639761.84=0),"متوقف","نشط")</f>
        <v/>
      </c>
      <c r="E10" s="6" t="n">
        <v>219905861.19</v>
      </c>
      <c r="F10" s="6" t="n">
        <v>256726800.98</v>
      </c>
      <c r="G10" s="6" t="n">
        <v>199149669.75</v>
      </c>
      <c r="H10" s="6" t="n">
        <v>136639761.84</v>
      </c>
      <c r="I10" s="6" t="n">
        <v>130009859.83</v>
      </c>
      <c r="J10" s="6" t="n">
        <v>6629902.01</v>
      </c>
      <c r="K10" s="6">
        <f>IF(D10="متوقف",0,H10*الافتراضات!$B$4)</f>
        <v/>
      </c>
      <c r="L10" s="7">
        <f>IF(G10=0,"",K10/G10-1)</f>
        <v/>
      </c>
      <c r="M10" s="6">
        <f>IFERROR(VLOOKUP(A10,التوقعات!$A$4:$I$41,9,FALSE),0)</f>
        <v/>
      </c>
      <c r="N10" s="7">
        <f>IF(M10=0,"",K10/M10)</f>
        <v/>
      </c>
    </row>
    <row r="11">
      <c r="A11" s="5" t="inlineStr">
        <is>
          <t>142162</t>
        </is>
      </c>
      <c r="B11" s="5" t="inlineStr">
        <is>
          <t>إيرادات  تأجير المرافق</t>
        </is>
      </c>
      <c r="C11" s="5" t="inlineStr">
        <is>
          <t>إيرادات إستثمارية</t>
        </is>
      </c>
      <c r="D11" s="5">
        <f>IF(AND(430765503.41=0,428460046.0=0),"متوقف","نشط")</f>
        <v/>
      </c>
      <c r="E11" s="6" t="n">
        <v>29573714.25</v>
      </c>
      <c r="F11" s="6" t="n">
        <v>45452213.03</v>
      </c>
      <c r="G11" s="6" t="n">
        <v>938889683.7</v>
      </c>
      <c r="H11" s="6" t="n">
        <v>428460046</v>
      </c>
      <c r="I11" s="6" t="n">
        <v>419189059.67</v>
      </c>
      <c r="J11" s="6" t="n">
        <v>9270986.33</v>
      </c>
      <c r="K11" s="6">
        <f>IF(D11="متوقف",0,H11*الافتراضات!$B$4)</f>
        <v/>
      </c>
      <c r="L11" s="7">
        <f>IF(G11=0,"",K11/G11-1)</f>
        <v/>
      </c>
      <c r="M11" s="6">
        <f>IFERROR(VLOOKUP(A11,التوقعات!$A$4:$I$41,9,FALSE),0)</f>
        <v/>
      </c>
      <c r="N11" s="7">
        <f>IF(M11=0,"",K11/M11)</f>
        <v/>
      </c>
    </row>
    <row r="12">
      <c r="A12" s="5" t="inlineStr">
        <is>
          <t>1421999</t>
        </is>
      </c>
      <c r="B12" s="5" t="inlineStr">
        <is>
          <t>مبيعات أخرى</t>
        </is>
      </c>
      <c r="C12" s="5" t="inlineStr">
        <is>
          <t>أخرى</t>
        </is>
      </c>
      <c r="D12" s="5">
        <f>IF(AND(147700656.12=0,134076434.91=0),"متوقف","نشط")</f>
        <v/>
      </c>
      <c r="E12" s="6" t="n">
        <v>110542302.74</v>
      </c>
      <c r="F12" s="6" t="n">
        <v>106593084.61</v>
      </c>
      <c r="G12" s="6" t="n">
        <v>60096373.96</v>
      </c>
      <c r="H12" s="6" t="n">
        <v>134076434.91</v>
      </c>
      <c r="I12" s="6" t="n">
        <v>131555252.54</v>
      </c>
      <c r="J12" s="6" t="n">
        <v>2521182.37</v>
      </c>
      <c r="K12" s="6">
        <f>IF(D12="متوقف",0,H12*الافتراضات!$B$4)</f>
        <v/>
      </c>
      <c r="L12" s="7">
        <f>IF(G12=0,"",K12/G12-1)</f>
        <v/>
      </c>
      <c r="M12" s="6">
        <f>IFERROR(VLOOKUP(A12,التوقعات!$A$4:$I$41,9,FALSE),0)</f>
        <v/>
      </c>
      <c r="N12" s="7">
        <f>IF(M12=0,"",K12/M12)</f>
        <v/>
      </c>
    </row>
    <row r="13">
      <c r="A13" s="5" t="inlineStr">
        <is>
          <t>144122</t>
        </is>
      </c>
      <c r="B13" s="5" t="inlineStr">
        <is>
          <t>إيرادات  متنوعه</t>
        </is>
      </c>
      <c r="C13" s="5" t="inlineStr">
        <is>
          <t>أخرى</t>
        </is>
      </c>
      <c r="D13" s="5">
        <f>IF(AND(316496963.26=0,20815752.14=0),"متوقف","نشط")</f>
        <v/>
      </c>
      <c r="E13" s="6" t="n">
        <v>8992323.98</v>
      </c>
      <c r="F13" s="6" t="n">
        <v>8297789.75</v>
      </c>
      <c r="G13" s="6" t="n">
        <v>2477531.42</v>
      </c>
      <c r="H13" s="6" t="n">
        <v>20815752.14</v>
      </c>
      <c r="I13" s="6" t="n">
        <v>1510267.36</v>
      </c>
      <c r="J13" s="6" t="n">
        <v>19305484.78</v>
      </c>
      <c r="K13" s="6">
        <f>IF(D13="متوقف",0,H13*الافتراضات!$B$4)</f>
        <v/>
      </c>
      <c r="L13" s="7">
        <f>IF(G13=0,"",K13/G13-1)</f>
        <v/>
      </c>
      <c r="M13" s="6">
        <f>IFERROR(VLOOKUP(A13,التوقعات!$A$4:$I$41,9,FALSE),0)</f>
        <v/>
      </c>
      <c r="N13" s="7">
        <f>IF(M13=0,"",K13/M13)</f>
        <v/>
      </c>
    </row>
    <row r="14">
      <c r="A14" s="5" t="inlineStr">
        <is>
          <t>1421911</t>
        </is>
      </c>
      <c r="B14" s="5" t="inlineStr">
        <is>
          <t>رسم مبيعات محلات تقديم منتجات التبغ</t>
        </is>
      </c>
      <c r="C14" s="5" t="inlineStr">
        <is>
          <t>التبغ والإيواء</t>
        </is>
      </c>
      <c r="D14" s="5">
        <f>IF(AND(80723092.94=0,56671709.72=0),"متوقف","نشط")</f>
        <v/>
      </c>
      <c r="E14" s="6" t="n">
        <v>65864668.18</v>
      </c>
      <c r="F14" s="6" t="n">
        <v>79278364.97</v>
      </c>
      <c r="G14" s="6" t="n">
        <v>67630101.28</v>
      </c>
      <c r="H14" s="6" t="n">
        <v>56671709.72</v>
      </c>
      <c r="I14" s="6" t="n">
        <v>54257631.71</v>
      </c>
      <c r="J14" s="6" t="n">
        <v>2414078.01</v>
      </c>
      <c r="K14" s="6">
        <f>IF(D14="متوقف",0,H14*الافتراضات!$B$4)</f>
        <v/>
      </c>
      <c r="L14" s="7">
        <f>IF(G14=0,"",K14/G14-1)</f>
        <v/>
      </c>
      <c r="M14" s="6">
        <f>IFERROR(VLOOKUP(A14,التوقعات!$A$4:$I$41,9,FALSE),0)</f>
        <v/>
      </c>
      <c r="N14" s="7">
        <f>IF(M14=0,"",K14/M14)</f>
        <v/>
      </c>
    </row>
    <row r="15">
      <c r="A15" s="5" t="inlineStr">
        <is>
          <t>1421909</t>
        </is>
      </c>
      <c r="B15" s="5" t="inlineStr">
        <is>
          <t>جمع النفايات</t>
        </is>
      </c>
      <c r="C15" s="5" t="inlineStr">
        <is>
          <t>الرسوم والتراخيص</t>
        </is>
      </c>
      <c r="D15" s="5">
        <f>IF(AND(79213506.2=0,72223518.14=0),"متوقف","نشط")</f>
        <v/>
      </c>
      <c r="E15" s="6" t="n">
        <v>72026385.34999999</v>
      </c>
      <c r="F15" s="6" t="n">
        <v>76106716.86</v>
      </c>
      <c r="G15" s="6" t="n">
        <v>72842923.63</v>
      </c>
      <c r="H15" s="6" t="n">
        <v>72223518.14</v>
      </c>
      <c r="I15" s="6" t="n">
        <v>69311342.59</v>
      </c>
      <c r="J15" s="6" t="n">
        <v>2912175.55</v>
      </c>
      <c r="K15" s="6">
        <f>IF(D15="متوقف",0,H15*الافتراضات!$B$4)</f>
        <v/>
      </c>
      <c r="L15" s="7">
        <f>IF(G15=0,"",K15/G15-1)</f>
        <v/>
      </c>
      <c r="M15" s="6">
        <f>IFERROR(VLOOKUP(A15,التوقعات!$A$4:$I$41,9,FALSE),0)</f>
        <v/>
      </c>
      <c r="N15" s="7">
        <f>IF(M15=0,"",K15/M15)</f>
        <v/>
      </c>
    </row>
    <row r="16">
      <c r="A16" s="5" t="inlineStr">
        <is>
          <t>11452105</t>
        </is>
      </c>
      <c r="B16" s="5" t="inlineStr">
        <is>
          <t>رسوم تراخيص حفر الشوارع</t>
        </is>
      </c>
      <c r="C16" s="5" t="inlineStr">
        <is>
          <t>الرسوم والتراخيص</t>
        </is>
      </c>
      <c r="D16" s="5">
        <f>IF(AND(1350.0=0,1350.0=0),"متوقف","نشط")</f>
        <v/>
      </c>
      <c r="E16" s="6" t="n">
        <v>66558861.24</v>
      </c>
      <c r="F16" s="6" t="n">
        <v>65200590.52</v>
      </c>
      <c r="G16" s="6" t="n">
        <v>590915.4300000001</v>
      </c>
      <c r="H16" s="6" t="n">
        <v>1350</v>
      </c>
      <c r="I16" s="6" t="n">
        <v>0</v>
      </c>
      <c r="J16" s="6" t="n">
        <v>1350</v>
      </c>
      <c r="K16" s="6">
        <f>IF(D16="متوقف",0,H16*الافتراضات!$B$4)</f>
        <v/>
      </c>
      <c r="L16" s="7">
        <f>IF(G16=0,"",K16/G16-1)</f>
        <v/>
      </c>
      <c r="M16" s="6">
        <f>IFERROR(VLOOKUP(A16,التوقعات!$A$4:$I$41,9,FALSE),0)</f>
        <v/>
      </c>
      <c r="N16" s="7">
        <f>IF(M16=0,"",K16/M16)</f>
        <v/>
      </c>
    </row>
    <row r="17">
      <c r="A17" s="5" t="inlineStr">
        <is>
          <t>11452108</t>
        </is>
      </c>
      <c r="B17" s="5" t="inlineStr">
        <is>
          <t>ايراد اصدار القرارات المساحية - أمانة منطقة الرياض</t>
        </is>
      </c>
      <c r="C17" s="5" t="inlineStr">
        <is>
          <t>الرسوم والتراخيص</t>
        </is>
      </c>
      <c r="D17" s="5">
        <f>IF(AND(34133807.25=0,31178848.2=0),"متوقف","نشط")</f>
        <v/>
      </c>
      <c r="E17" s="6" t="n">
        <v>4316211.89</v>
      </c>
      <c r="F17" s="6" t="n">
        <v>19339697.82</v>
      </c>
      <c r="G17" s="6" t="n">
        <v>24531493.81</v>
      </c>
      <c r="H17" s="6" t="n">
        <v>31178848.2</v>
      </c>
      <c r="I17" s="6" t="n">
        <v>28852796.06</v>
      </c>
      <c r="J17" s="6" t="n">
        <v>2326052.14</v>
      </c>
      <c r="K17" s="6">
        <f>IF(D17="متوقف",0,H17*الافتراضات!$B$4)</f>
        <v/>
      </c>
      <c r="L17" s="7">
        <f>IF(G17=0,"",K17/G17-1)</f>
        <v/>
      </c>
      <c r="M17" s="6">
        <f>IFERROR(VLOOKUP(A17,التوقعات!$A$4:$I$41,9,FALSE),0)</f>
        <v/>
      </c>
      <c r="N17" s="7">
        <f>IF(M17=0,"",K17/M17)</f>
        <v/>
      </c>
    </row>
    <row r="18">
      <c r="A18" s="5" t="inlineStr">
        <is>
          <t>1422108</t>
        </is>
      </c>
      <c r="B18" s="5" t="inlineStr">
        <is>
          <t>الشهادات الصحية</t>
        </is>
      </c>
      <c r="C18" s="5" t="inlineStr">
        <is>
          <t>الرسوم والتراخيص</t>
        </is>
      </c>
      <c r="D18" s="5">
        <f>IF(AND(21634358.52=0,17601110.76=0),"متوقف","نشط")</f>
        <v/>
      </c>
      <c r="E18" s="6" t="n">
        <v>20767064.19</v>
      </c>
      <c r="F18" s="6" t="n">
        <v>12367178.86</v>
      </c>
      <c r="G18" s="6" t="n">
        <v>26098550.07</v>
      </c>
      <c r="H18" s="6" t="n">
        <v>17601110.76</v>
      </c>
      <c r="I18" s="6" t="n">
        <v>17398801.09</v>
      </c>
      <c r="J18" s="6" t="n">
        <v>202309.67</v>
      </c>
      <c r="K18" s="6">
        <f>IF(D18="متوقف",0,H18*الافتراضات!$B$4)</f>
        <v/>
      </c>
      <c r="L18" s="7">
        <f>IF(G18=0,"",K18/G18-1)</f>
        <v/>
      </c>
      <c r="M18" s="6">
        <f>IFERROR(VLOOKUP(A18,التوقعات!$A$4:$I$41,9,FALSE),0)</f>
        <v/>
      </c>
      <c r="N18" s="7">
        <f>IF(M18=0,"",K18/M18)</f>
        <v/>
      </c>
    </row>
    <row r="19">
      <c r="A19" s="5" t="inlineStr">
        <is>
          <t>1422121</t>
        </is>
      </c>
      <c r="B19" s="5" t="inlineStr">
        <is>
          <t>رسم ترخيص نشاط تقديم منتجات التبغ</t>
        </is>
      </c>
      <c r="C19" s="5" t="inlineStr">
        <is>
          <t>التبغ والإيواء</t>
        </is>
      </c>
      <c r="D19" s="5">
        <f>IF(AND(14308008.01=0,13896650.67=0),"متوقف","نشط")</f>
        <v/>
      </c>
      <c r="E19" s="6" t="n">
        <v>13322800</v>
      </c>
      <c r="F19" s="6" t="n">
        <v>17925000</v>
      </c>
      <c r="G19" s="6" t="n">
        <v>15681460.95</v>
      </c>
      <c r="H19" s="6" t="n">
        <v>13896650.67</v>
      </c>
      <c r="I19" s="6" t="n">
        <v>13332736.16</v>
      </c>
      <c r="J19" s="6" t="n">
        <v>563914.51</v>
      </c>
      <c r="K19" s="6">
        <f>IF(D19="متوقف",0,H19*الافتراضات!$B$4)</f>
        <v/>
      </c>
      <c r="L19" s="7">
        <f>IF(G19=0,"",K19/G19-1)</f>
        <v/>
      </c>
      <c r="M19" s="6">
        <f>IFERROR(VLOOKUP(A19,التوقعات!$A$4:$I$41,9,FALSE),0)</f>
        <v/>
      </c>
      <c r="N19" s="7">
        <f>IF(M19=0,"",K19/M19)</f>
        <v/>
      </c>
    </row>
    <row r="20">
      <c r="A20" s="5" t="inlineStr">
        <is>
          <t>بدون رقم</t>
        </is>
      </c>
      <c r="B20" s="5" t="inlineStr">
        <is>
          <t>بدون رقم (خدمات علم + جزاءات)</t>
        </is>
      </c>
      <c r="C20" s="5" t="inlineStr">
        <is>
          <t>علم / جزاءات</t>
        </is>
      </c>
      <c r="D20" s="5">
        <f>IF(AND(21837837.5=0,2122923.75=0),"متوقف","نشط")</f>
        <v/>
      </c>
      <c r="E20" s="6" t="n">
        <v>4815218.75</v>
      </c>
      <c r="F20" s="6" t="n">
        <v>14256546.25</v>
      </c>
      <c r="G20" s="6" t="n">
        <v>21814890</v>
      </c>
      <c r="H20" s="6" t="n">
        <v>2122923.75</v>
      </c>
      <c r="I20" s="6" t="n">
        <v>1899660</v>
      </c>
      <c r="J20" s="6" t="n">
        <v>223263.75</v>
      </c>
      <c r="K20" s="6">
        <f>IF(D20="متوقف",0,H20*الافتراضات!$B$4)</f>
        <v/>
      </c>
      <c r="L20" s="7">
        <f>IF(G20=0,"",K20/G20-1)</f>
        <v/>
      </c>
      <c r="M20" s="6">
        <f>IFERROR(VLOOKUP(A20,التوقعات!$A$4:$I$41,9,FALSE),0)</f>
        <v/>
      </c>
      <c r="N20" s="7">
        <f>IF(M20=0,"",K20/M20)</f>
        <v/>
      </c>
    </row>
    <row r="21">
      <c r="A21" s="5" t="inlineStr">
        <is>
          <t>142163</t>
        </is>
      </c>
      <c r="B21" s="5" t="inlineStr">
        <is>
          <t>إيرادات  تأجير مباني تجارية</t>
        </is>
      </c>
      <c r="C21" s="5" t="inlineStr">
        <is>
          <t>إيرادات إستثمارية</t>
        </is>
      </c>
      <c r="D21" s="5">
        <f>IF(AND(12310614.76=0,10169478.26=0),"متوقف","نشط")</f>
        <v/>
      </c>
      <c r="E21" s="6" t="n">
        <v>6866663.43</v>
      </c>
      <c r="F21" s="6" t="n">
        <v>6179302.5</v>
      </c>
      <c r="G21" s="6" t="n">
        <v>3001651.75</v>
      </c>
      <c r="H21" s="6" t="n">
        <v>10169478.26</v>
      </c>
      <c r="I21" s="6" t="n">
        <v>6947112.55</v>
      </c>
      <c r="J21" s="6" t="n">
        <v>3222365.71</v>
      </c>
      <c r="K21" s="6">
        <f>IF(D21="متوقف",0,H21*الافتراضات!$B$4)</f>
        <v/>
      </c>
      <c r="L21" s="7">
        <f>IF(G21=0,"",K21/G21-1)</f>
        <v/>
      </c>
      <c r="M21" s="6">
        <f>IFERROR(VLOOKUP(A21,التوقعات!$A$4:$I$41,9,FALSE),0)</f>
        <v/>
      </c>
      <c r="N21" s="7">
        <f>IF(M21=0,"",K21/M21)</f>
        <v/>
      </c>
    </row>
    <row r="22">
      <c r="A22" s="5" t="inlineStr">
        <is>
          <t>1422109</t>
        </is>
      </c>
      <c r="B22" s="5" t="inlineStr">
        <is>
          <t>ايرادات  الكشفية</t>
        </is>
      </c>
      <c r="C22" s="5" t="inlineStr">
        <is>
          <t>الرسوم والتراخيص</t>
        </is>
      </c>
      <c r="D22" s="5">
        <f>IF(AND(6331998.45=0,5723153.45=0),"متوقف","نشط")</f>
        <v/>
      </c>
      <c r="E22" s="6" t="n">
        <v>9211384.77</v>
      </c>
      <c r="F22" s="6" t="n">
        <v>8995823.25</v>
      </c>
      <c r="G22" s="6" t="n">
        <v>7132142.91</v>
      </c>
      <c r="H22" s="6" t="n">
        <v>5723153.45</v>
      </c>
      <c r="I22" s="6" t="n">
        <v>5563946.57</v>
      </c>
      <c r="J22" s="6" t="n">
        <v>159206.88</v>
      </c>
      <c r="K22" s="6">
        <f>IF(D22="متوقف",0,H22*الافتراضات!$B$4)</f>
        <v/>
      </c>
      <c r="L22" s="7">
        <f>IF(G22=0,"",K22/G22-1)</f>
        <v/>
      </c>
      <c r="M22" s="6">
        <f>IFERROR(VLOOKUP(A22,التوقعات!$A$4:$I$41,9,FALSE),0)</f>
        <v/>
      </c>
      <c r="N22" s="7">
        <f>IF(M22=0,"",K22/M22)</f>
        <v/>
      </c>
    </row>
    <row r="23">
      <c r="A23" s="5" t="inlineStr">
        <is>
          <t>11452111</t>
        </is>
      </c>
      <c r="B23" s="5" t="inlineStr">
        <is>
          <t>المقابل المالي للسماح للأنشطة التجارية بالعمل (24) ساعة</t>
        </is>
      </c>
      <c r="C23" s="5" t="inlineStr">
        <is>
          <t>الرسوم والتراخيص</t>
        </is>
      </c>
      <c r="D23" s="5">
        <f>IF(AND(12106223.42=0,11409758.77=0),"متوقف","نشط")</f>
        <v/>
      </c>
      <c r="E23" s="6" t="n">
        <v>6031956.09</v>
      </c>
      <c r="F23" s="6" t="n">
        <v>5166690.6</v>
      </c>
      <c r="G23" s="6" t="n">
        <v>5751371.82</v>
      </c>
      <c r="H23" s="6" t="n">
        <v>11409758.77</v>
      </c>
      <c r="I23" s="6" t="n">
        <v>11142484.61</v>
      </c>
      <c r="J23" s="6" t="n">
        <v>267274.16</v>
      </c>
      <c r="K23" s="6">
        <f>IF(D23="متوقف",0,H23*الافتراضات!$B$4)</f>
        <v/>
      </c>
      <c r="L23" s="7">
        <f>IF(G23=0,"",K23/G23-1)</f>
        <v/>
      </c>
      <c r="M23" s="6">
        <f>IFERROR(VLOOKUP(A23,التوقعات!$A$4:$I$41,9,FALSE),0)</f>
        <v/>
      </c>
      <c r="N23" s="7">
        <f>IF(M23=0,"",K23/M23)</f>
        <v/>
      </c>
    </row>
    <row r="24">
      <c r="A24" s="5" t="inlineStr">
        <is>
          <t>1421910</t>
        </is>
      </c>
      <c r="B24" s="5" t="inlineStr">
        <is>
          <t>اصدار تراخيص اشغال الارصفة العامة و الطرق</t>
        </is>
      </c>
      <c r="C24" s="5" t="inlineStr">
        <is>
          <t>الرسوم والتراخيص</t>
        </is>
      </c>
      <c r="D24" s="5">
        <f>IF(AND(3660790.62=0,3564931.07=0),"متوقف","نشط")</f>
        <v/>
      </c>
      <c r="E24" s="6" t="n">
        <v>3828676.61</v>
      </c>
      <c r="F24" s="6" t="n">
        <v>2909412.61</v>
      </c>
      <c r="G24" s="6" t="n">
        <v>3477675.2</v>
      </c>
      <c r="H24" s="6" t="n">
        <v>3564931.07</v>
      </c>
      <c r="I24" s="6" t="n">
        <v>3475978.84</v>
      </c>
      <c r="J24" s="6" t="n">
        <v>88952.23</v>
      </c>
      <c r="K24" s="6">
        <f>IF(D24="متوقف",0,H24*الافتراضات!$B$4)</f>
        <v/>
      </c>
      <c r="L24" s="7">
        <f>IF(G24=0,"",K24/G24-1)</f>
        <v/>
      </c>
      <c r="M24" s="6">
        <f>IFERROR(VLOOKUP(A24,التوقعات!$A$4:$I$41,9,FALSE),0)</f>
        <v/>
      </c>
      <c r="N24" s="7">
        <f>IF(M24=0,"",K24/M24)</f>
        <v/>
      </c>
    </row>
    <row r="25">
      <c r="A25" s="5" t="inlineStr">
        <is>
          <t>1439</t>
        </is>
      </c>
      <c r="B25" s="5" t="inlineStr">
        <is>
          <t>ايرادات  مبيعات  ناتجه من النشاط غير مصنفة</t>
        </is>
      </c>
      <c r="C25" s="5" t="inlineStr">
        <is>
          <t>جزاءات وغرامات</t>
        </is>
      </c>
      <c r="D25" s="5">
        <f>IF(AND(519000.0=0,183000.0=0),"متوقف","نشط")</f>
        <v/>
      </c>
      <c r="E25" s="6" t="n">
        <v>3537100</v>
      </c>
      <c r="F25" s="6" t="n">
        <v>227000</v>
      </c>
      <c r="G25" s="6" t="n">
        <v>8503508</v>
      </c>
      <c r="H25" s="6" t="n">
        <v>183000</v>
      </c>
      <c r="I25" s="6" t="n">
        <v>183000</v>
      </c>
      <c r="J25" s="6" t="n">
        <v>0</v>
      </c>
      <c r="K25" s="6">
        <f>IF(D25="متوقف",0,H25*الافتراضات!$B$4)</f>
        <v/>
      </c>
      <c r="L25" s="7">
        <f>IF(G25=0,"",K25/G25-1)</f>
        <v/>
      </c>
      <c r="M25" s="6">
        <f>IFERROR(VLOOKUP(A25,التوقعات!$A$4:$I$41,9,FALSE),0)</f>
        <v/>
      </c>
      <c r="N25" s="7">
        <f>IF(M25=0,"",K25/M25)</f>
        <v/>
      </c>
    </row>
    <row r="26">
      <c r="A26" s="5" t="inlineStr">
        <is>
          <t>1421901</t>
        </is>
      </c>
      <c r="B26" s="5" t="inlineStr">
        <is>
          <t>بيع الوثائق والأنظمة</t>
        </is>
      </c>
      <c r="C26" s="5" t="inlineStr">
        <is>
          <t>أخرى</t>
        </is>
      </c>
      <c r="D26" s="5">
        <f>IF(AND(1860236.0=0,1624137.0=0),"متوقف","نشط")</f>
        <v/>
      </c>
      <c r="E26" s="6" t="n">
        <v>2928906</v>
      </c>
      <c r="F26" s="6" t="n">
        <v>2736595</v>
      </c>
      <c r="G26" s="6" t="n">
        <v>2512377</v>
      </c>
      <c r="H26" s="6" t="n">
        <v>1624137</v>
      </c>
      <c r="I26" s="6" t="n">
        <v>1616037</v>
      </c>
      <c r="J26" s="6" t="n">
        <v>8100</v>
      </c>
      <c r="K26" s="6">
        <f>IF(D26="متوقف",0,H26*الافتراضات!$B$4)</f>
        <v/>
      </c>
      <c r="L26" s="7">
        <f>IF(G26=0,"",K26/G26-1)</f>
        <v/>
      </c>
      <c r="M26" s="6">
        <f>IFERROR(VLOOKUP(A26,التوقعات!$A$4:$I$41,9,FALSE),0)</f>
        <v/>
      </c>
      <c r="N26" s="7">
        <f>IF(M26=0,"",K26/M26)</f>
        <v/>
      </c>
    </row>
    <row r="27">
      <c r="A27" s="5" t="inlineStr">
        <is>
          <t>1421903</t>
        </is>
      </c>
      <c r="B27" s="5" t="inlineStr">
        <is>
          <t>مبيعات التيار الكهربائي</t>
        </is>
      </c>
      <c r="C27" s="5" t="inlineStr">
        <is>
          <t>إيرادات إستثمارية</t>
        </is>
      </c>
      <c r="D27" s="5">
        <f>IF(AND(302027.65=0,274868.65=0),"متوقف","نشط")</f>
        <v/>
      </c>
      <c r="E27" s="6" t="n">
        <v>0</v>
      </c>
      <c r="F27" s="6" t="n">
        <v>0</v>
      </c>
      <c r="G27" s="6" t="n">
        <v>1464687.1</v>
      </c>
      <c r="H27" s="6" t="n">
        <v>274868.65</v>
      </c>
      <c r="I27" s="6" t="n">
        <v>143551.39</v>
      </c>
      <c r="J27" s="6" t="n">
        <v>131317.26</v>
      </c>
      <c r="K27" s="6">
        <f>IF(D27="متوقف",0,H27*الافتراضات!$B$4)</f>
        <v/>
      </c>
      <c r="L27" s="7">
        <f>IF(G27=0,"",K27/G27-1)</f>
        <v/>
      </c>
      <c r="M27" s="6">
        <f>IFERROR(VLOOKUP(A27,التوقعات!$A$4:$I$41,9,FALSE),0)</f>
        <v/>
      </c>
      <c r="N27" s="7">
        <f>IF(M27=0,"",K27/M27)</f>
        <v/>
      </c>
    </row>
    <row r="28">
      <c r="A28" s="5" t="inlineStr">
        <is>
          <t>1438</t>
        </is>
      </c>
      <c r="B28" s="5" t="inlineStr">
        <is>
          <t>جزاءات وغرامات مفروضة بموجب أنظمة الجهة</t>
        </is>
      </c>
      <c r="C28" s="5" t="inlineStr">
        <is>
          <t>جزاءات وغرامات</t>
        </is>
      </c>
      <c r="D28" s="5">
        <f>IF(AND(59500.0=0,59500.0=0),"متوقف","نشط")</f>
        <v/>
      </c>
      <c r="E28" s="6" t="n">
        <v>4544553</v>
      </c>
      <c r="F28" s="6" t="n">
        <v>486100</v>
      </c>
      <c r="G28" s="6" t="n">
        <v>352900</v>
      </c>
      <c r="H28" s="6" t="n">
        <v>59500</v>
      </c>
      <c r="I28" s="6" t="n">
        <v>0</v>
      </c>
      <c r="J28" s="6" t="n">
        <v>59500</v>
      </c>
      <c r="K28" s="6">
        <f>IF(D28="متوقف",0,H28*الافتراضات!$B$4)</f>
        <v/>
      </c>
      <c r="L28" s="7">
        <f>IF(G28=0,"",K28/G28-1)</f>
        <v/>
      </c>
      <c r="M28" s="6">
        <f>IFERROR(VLOOKUP(A28,التوقعات!$A$4:$I$41,9,FALSE),0)</f>
        <v/>
      </c>
      <c r="N28" s="7">
        <f>IF(M28=0,"",K28/M28)</f>
        <v/>
      </c>
    </row>
    <row r="29">
      <c r="A29" s="5" t="inlineStr">
        <is>
          <t>1421912</t>
        </is>
      </c>
      <c r="B29" s="5" t="inlineStr">
        <is>
          <t>تأجير العقارات لأغراض مؤقته</t>
        </is>
      </c>
      <c r="C29" s="5" t="inlineStr">
        <is>
          <t>إيرادات إستثمارية</t>
        </is>
      </c>
      <c r="D29" s="5">
        <f>IF(AND(1447854.96=0,1357611.55=0),"متوقف","نشط")</f>
        <v/>
      </c>
      <c r="E29" s="6" t="n">
        <v>838420.1899999999</v>
      </c>
      <c r="F29" s="6" t="n">
        <v>2043840.5</v>
      </c>
      <c r="G29" s="6" t="n">
        <v>2454143.51</v>
      </c>
      <c r="H29" s="6" t="n">
        <v>1357611.55</v>
      </c>
      <c r="I29" s="6" t="n">
        <v>1354461.55</v>
      </c>
      <c r="J29" s="6" t="n">
        <v>3150</v>
      </c>
      <c r="K29" s="6">
        <f>IF(D29="متوقف",0,H29*الافتراضات!$B$4)</f>
        <v/>
      </c>
      <c r="L29" s="7">
        <f>IF(G29=0,"",K29/G29-1)</f>
        <v/>
      </c>
      <c r="M29" s="6">
        <f>IFERROR(VLOOKUP(A29,التوقعات!$A$4:$I$41,9,FALSE),0)</f>
        <v/>
      </c>
      <c r="N29" s="7">
        <f>IF(M29=0,"",K29/M29)</f>
        <v/>
      </c>
    </row>
    <row r="30">
      <c r="A30" s="5" t="inlineStr">
        <is>
          <t>11452106</t>
        </is>
      </c>
      <c r="B30" s="5" t="inlineStr">
        <is>
          <t>اصدار التراخيص بتأسيس أو تشغيل ابراج الاتصالات</t>
        </is>
      </c>
      <c r="C30" s="5" t="inlineStr">
        <is>
          <t>الرسوم والتراخيص</t>
        </is>
      </c>
      <c r="D30" s="5">
        <f>IF(AND(476400.0=0,342700.0=0),"متوقف","نشط")</f>
        <v/>
      </c>
      <c r="E30" s="6" t="n">
        <v>845300</v>
      </c>
      <c r="F30" s="6" t="n">
        <v>1408700</v>
      </c>
      <c r="G30" s="6" t="n">
        <v>1275300</v>
      </c>
      <c r="H30" s="6" t="n">
        <v>342700</v>
      </c>
      <c r="I30" s="6" t="n">
        <v>189300</v>
      </c>
      <c r="J30" s="6" t="n">
        <v>153400</v>
      </c>
      <c r="K30" s="6">
        <f>IF(D30="متوقف",0,H30*الافتراضات!$B$4)</f>
        <v/>
      </c>
      <c r="L30" s="7">
        <f>IF(G30=0,"",K30/G30-1)</f>
        <v/>
      </c>
      <c r="M30" s="6">
        <f>IFERROR(VLOOKUP(A30,التوقعات!$A$4:$I$41,9,FALSE),0)</f>
        <v/>
      </c>
      <c r="N30" s="7">
        <f>IF(M30=0,"",K30/M30)</f>
        <v/>
      </c>
    </row>
    <row r="31">
      <c r="A31" s="5" t="inlineStr">
        <is>
          <t>11452110</t>
        </is>
      </c>
      <c r="B31" s="5" t="inlineStr">
        <is>
          <t>إصدار تراخيص إستخدام أملاك خاصة لإقامة فعاليات</t>
        </is>
      </c>
      <c r="C31" s="5" t="inlineStr">
        <is>
          <t>الرسوم والتراخيص</t>
        </is>
      </c>
      <c r="D31" s="5">
        <f>IF(AND(646845.12=0,594187.77=0),"متوقف","نشط")</f>
        <v/>
      </c>
      <c r="E31" s="6" t="n">
        <v>609446.45</v>
      </c>
      <c r="F31" s="6" t="n">
        <v>1038687.25</v>
      </c>
      <c r="G31" s="6" t="n">
        <v>809215.9</v>
      </c>
      <c r="H31" s="6" t="n">
        <v>594187.77</v>
      </c>
      <c r="I31" s="6" t="n">
        <v>579245.45</v>
      </c>
      <c r="J31" s="6" t="n">
        <v>14942.32</v>
      </c>
      <c r="K31" s="6">
        <f>IF(D31="متوقف",0,H31*الافتراضات!$B$4)</f>
        <v/>
      </c>
      <c r="L31" s="7">
        <f>IF(G31=0,"",K31/G31-1)</f>
        <v/>
      </c>
      <c r="M31" s="6">
        <f>IFERROR(VLOOKUP(A31,التوقعات!$A$4:$I$41,9,FALSE),0)</f>
        <v/>
      </c>
      <c r="N31" s="7">
        <f>IF(M31=0,"",K31/M31)</f>
        <v/>
      </c>
    </row>
    <row r="32">
      <c r="A32" s="5" t="inlineStr">
        <is>
          <t>141229</t>
        </is>
      </c>
      <c r="B32" s="5" t="inlineStr">
        <is>
          <t>أرباح أخرى</t>
        </is>
      </c>
      <c r="C32" s="5" t="inlineStr">
        <is>
          <t>إيرادات إستثمارية</t>
        </is>
      </c>
      <c r="D32" s="5">
        <f>IF(AND(60000.0=0,60000.0=0),"متوقف","نشط")</f>
        <v/>
      </c>
      <c r="E32" s="6" t="n">
        <v>910572</v>
      </c>
      <c r="F32" s="6" t="n">
        <v>2120000</v>
      </c>
      <c r="G32" s="6" t="n">
        <v>30000</v>
      </c>
      <c r="H32" s="6" t="n">
        <v>60000</v>
      </c>
      <c r="I32" s="6" t="n">
        <v>0</v>
      </c>
      <c r="J32" s="6" t="n">
        <v>60000</v>
      </c>
      <c r="K32" s="6">
        <f>IF(D32="متوقف",0,H32*الافتراضات!$B$4)</f>
        <v/>
      </c>
      <c r="L32" s="7">
        <f>IF(G32=0,"",K32/G32-1)</f>
        <v/>
      </c>
      <c r="M32" s="6">
        <f>IFERROR(VLOOKUP(A32,التوقعات!$A$4:$I$41,9,FALSE),0)</f>
        <v/>
      </c>
      <c r="N32" s="7">
        <f>IF(M32=0,"",K32/M32)</f>
        <v/>
      </c>
    </row>
    <row r="33">
      <c r="A33" s="5" t="inlineStr">
        <is>
          <t>11452109</t>
        </is>
      </c>
      <c r="B33" s="5" t="inlineStr">
        <is>
          <t>اعتماد مخططات التطوير العقاري</t>
        </is>
      </c>
      <c r="C33" s="5" t="inlineStr">
        <is>
          <t>الرسوم والتراخيص</t>
        </is>
      </c>
      <c r="D33" s="5">
        <f>IF(AND(100.0=0,100.0=0),"متوقف","نشط")</f>
        <v/>
      </c>
      <c r="E33" s="6" t="n">
        <v>536299.9399999999</v>
      </c>
      <c r="F33" s="6" t="n">
        <v>1217856.22</v>
      </c>
      <c r="G33" s="6" t="n">
        <v>591946.73</v>
      </c>
      <c r="H33" s="6" t="n">
        <v>100</v>
      </c>
      <c r="I33" s="6" t="n">
        <v>0</v>
      </c>
      <c r="J33" s="6" t="n">
        <v>100</v>
      </c>
      <c r="K33" s="6">
        <f>IF(D33="متوقف",0,H33*الافتراضات!$B$4)</f>
        <v/>
      </c>
      <c r="L33" s="7">
        <f>IF(G33=0,"",K33/G33-1)</f>
        <v/>
      </c>
      <c r="M33" s="6">
        <f>IFERROR(VLOOKUP(A33,التوقعات!$A$4:$I$41,9,FALSE),0)</f>
        <v/>
      </c>
      <c r="N33" s="7">
        <f>IF(M33=0,"",K33/M33)</f>
        <v/>
      </c>
    </row>
    <row r="34">
      <c r="A34" s="5" t="inlineStr">
        <is>
          <t>11452107</t>
        </is>
      </c>
      <c r="B34" s="5" t="inlineStr">
        <is>
          <t>اصدار التراخيص بتأسيس أو تشغيل الصراف الآلي</t>
        </is>
      </c>
      <c r="C34" s="5" t="inlineStr">
        <is>
          <t>الرسوم والتراخيص</t>
        </is>
      </c>
      <c r="D34" s="5">
        <f>IF(AND(200184.61=0,158934.61=0),"متوقف","نشط")</f>
        <v/>
      </c>
      <c r="E34" s="6" t="n">
        <v>54000</v>
      </c>
      <c r="F34" s="6" t="n">
        <v>90000</v>
      </c>
      <c r="G34" s="6" t="n">
        <v>229800</v>
      </c>
      <c r="H34" s="6" t="n">
        <v>158934.61</v>
      </c>
      <c r="I34" s="6" t="n">
        <v>152461.09</v>
      </c>
      <c r="J34" s="6" t="n">
        <v>6473.52</v>
      </c>
      <c r="K34" s="6">
        <f>IF(D34="متوقف",0,H34*الافتراضات!$B$4)</f>
        <v/>
      </c>
      <c r="L34" s="7">
        <f>IF(G34=0,"",K34/G34-1)</f>
        <v/>
      </c>
      <c r="M34" s="6">
        <f>IFERROR(VLOOKUP(A34,التوقعات!$A$4:$I$41,9,FALSE),0)</f>
        <v/>
      </c>
      <c r="N34" s="7">
        <f>IF(M34=0,"",K34/M34)</f>
        <v/>
      </c>
    </row>
    <row r="35">
      <c r="A35" s="5" t="inlineStr">
        <is>
          <t>3318212</t>
        </is>
      </c>
      <c r="B35" s="5" t="inlineStr">
        <is>
          <t>مرتجع رواتب - فواتير</t>
        </is>
      </c>
      <c r="C35" s="5" t="inlineStr">
        <is>
          <t>أخرى</t>
        </is>
      </c>
      <c r="D35" s="5">
        <f>IF(AND(361665.23=0,216725.66=0),"متوقف","نشط")</f>
        <v/>
      </c>
      <c r="E35" s="6" t="n">
        <v>0</v>
      </c>
      <c r="F35" s="6" t="n">
        <v>0</v>
      </c>
      <c r="G35" s="6" t="n">
        <v>152767.79</v>
      </c>
      <c r="H35" s="6" t="n">
        <v>216725.66</v>
      </c>
      <c r="I35" s="6" t="n">
        <v>216725.66</v>
      </c>
      <c r="J35" s="6" t="n">
        <v>0</v>
      </c>
      <c r="K35" s="6">
        <f>IF(D35="متوقف",0,H35*الافتراضات!$B$4)</f>
        <v/>
      </c>
      <c r="L35" s="7">
        <f>IF(G35=0,"",K35/G35-1)</f>
        <v/>
      </c>
      <c r="M35" s="6">
        <f>IFERROR(VLOOKUP(A35,التوقعات!$A$4:$I$41,9,FALSE),0)</f>
        <v/>
      </c>
      <c r="N35" s="7">
        <f>IF(M35=0,"",K35/M35)</f>
        <v/>
      </c>
    </row>
    <row r="36">
      <c r="A36" s="5" t="inlineStr">
        <is>
          <t>11422</t>
        </is>
      </c>
      <c r="B36" s="5" t="inlineStr">
        <is>
          <t>رسوم منتجات التبغ</t>
        </is>
      </c>
      <c r="C36" s="5" t="inlineStr">
        <is>
          <t>التبغ والإيواء</t>
        </is>
      </c>
      <c r="D36" s="5">
        <f>IF(AND(0.0=0,0.0=0),"متوقف","نشط")</f>
        <v/>
      </c>
      <c r="E36" s="6" t="n">
        <v>27000</v>
      </c>
      <c r="F36" s="6" t="n">
        <v>5167</v>
      </c>
      <c r="G36" s="6" t="n">
        <v>27000</v>
      </c>
      <c r="H36" s="6" t="n">
        <v>0</v>
      </c>
      <c r="I36" s="6" t="n">
        <v>0</v>
      </c>
      <c r="J36" s="6" t="n">
        <v>0</v>
      </c>
      <c r="K36" s="6">
        <f>IF(D36="متوقف",0,H36*الافتراضات!$B$4)</f>
        <v/>
      </c>
      <c r="L36" s="7">
        <f>IF(G36=0,"",K36/G36-1)</f>
        <v/>
      </c>
      <c r="M36" s="6">
        <f>IFERROR(VLOOKUP(A36,التوقعات!$A$4:$I$41,9,FALSE),0)</f>
        <v/>
      </c>
      <c r="N36" s="7">
        <f>IF(M36=0,"",K36/M36)</f>
        <v/>
      </c>
    </row>
    <row r="37">
      <c r="A37" s="5" t="inlineStr">
        <is>
          <t>1422103</t>
        </is>
      </c>
      <c r="B37" s="5" t="inlineStr">
        <is>
          <t>تراخيص المحلات</t>
        </is>
      </c>
      <c r="C37" s="5" t="inlineStr">
        <is>
          <t>إيرادات إستثمارية</t>
        </is>
      </c>
      <c r="D37" s="5">
        <f>IF(AND(432.0=0,432.0=0),"متوقف","نشط")</f>
        <v/>
      </c>
      <c r="E37" s="6" t="n">
        <v>67711.60000000001</v>
      </c>
      <c r="F37" s="6" t="n">
        <v>16269.6</v>
      </c>
      <c r="G37" s="6" t="n">
        <v>1603.2</v>
      </c>
      <c r="H37" s="6" t="n">
        <v>432</v>
      </c>
      <c r="I37" s="6" t="n">
        <v>0</v>
      </c>
      <c r="J37" s="6" t="n">
        <v>432</v>
      </c>
      <c r="K37" s="6">
        <f>IF(D37="متوقف",0,H37*الافتراضات!$B$4)</f>
        <v/>
      </c>
      <c r="L37" s="7">
        <f>IF(G37=0,"",K37/G37-1)</f>
        <v/>
      </c>
      <c r="M37" s="6">
        <f>IFERROR(VLOOKUP(A37,التوقعات!$A$4:$I$41,9,FALSE),0)</f>
        <v/>
      </c>
      <c r="N37" s="7">
        <f>IF(M37=0,"",K37/M37)</f>
        <v/>
      </c>
    </row>
    <row r="38">
      <c r="A38" s="5" t="inlineStr">
        <is>
          <t>11452513</t>
        </is>
      </c>
      <c r="B38" s="5" t="inlineStr">
        <is>
          <t>لوحات إرشـادية</t>
        </is>
      </c>
      <c r="C38" s="5" t="inlineStr">
        <is>
          <t>الرسوم والتراخيص</t>
        </is>
      </c>
      <c r="D38" s="5">
        <f>IF(AND(600.0=0,600.0=0),"متوقف","نشط")</f>
        <v/>
      </c>
      <c r="E38" s="6" t="n">
        <v>55525</v>
      </c>
      <c r="F38" s="6" t="n">
        <v>12875</v>
      </c>
      <c r="G38" s="6" t="n">
        <v>9000</v>
      </c>
      <c r="H38" s="6" t="n">
        <v>600</v>
      </c>
      <c r="I38" s="6" t="n">
        <v>0</v>
      </c>
      <c r="J38" s="6" t="n">
        <v>600</v>
      </c>
      <c r="K38" s="6">
        <f>IF(D38="متوقف",0,H38*الافتراضات!$B$4)</f>
        <v/>
      </c>
      <c r="L38" s="7">
        <f>IF(G38=0,"",K38/G38-1)</f>
        <v/>
      </c>
      <c r="M38" s="6">
        <f>IFERROR(VLOOKUP(A38,التوقعات!$A$4:$I$41,9,FALSE),0)</f>
        <v/>
      </c>
      <c r="N38" s="7">
        <f>IF(M38=0,"",K38/M38)</f>
        <v/>
      </c>
    </row>
    <row r="39">
      <c r="A39" s="5" t="inlineStr">
        <is>
          <t>1421907</t>
        </is>
      </c>
      <c r="B39" s="5" t="inlineStr">
        <is>
          <t>إيرادات المخططات</t>
        </is>
      </c>
      <c r="C39" s="5" t="inlineStr">
        <is>
          <t>الرسوم والتراخيص</t>
        </is>
      </c>
      <c r="D39" s="5">
        <f>IF(AND(6350.0=0,5550.0=0),"متوقف","نشط")</f>
        <v/>
      </c>
      <c r="E39" s="6" t="n">
        <v>0</v>
      </c>
      <c r="F39" s="6" t="n">
        <v>0</v>
      </c>
      <c r="G39" s="6" t="n">
        <v>20650</v>
      </c>
      <c r="H39" s="6" t="n">
        <v>5550</v>
      </c>
      <c r="I39" s="6" t="n">
        <v>5450</v>
      </c>
      <c r="J39" s="6" t="n">
        <v>100</v>
      </c>
      <c r="K39" s="6">
        <f>IF(D39="متوقف",0,H39*الافتراضات!$B$4)</f>
        <v/>
      </c>
      <c r="L39" s="7">
        <f>IF(G39=0,"",K39/G39-1)</f>
        <v/>
      </c>
      <c r="M39" s="6">
        <f>IFERROR(VLOOKUP(A39,التوقعات!$A$4:$I$41,9,FALSE),0)</f>
        <v/>
      </c>
      <c r="N39" s="7">
        <f>IF(M39=0,"",K39/M39)</f>
        <v/>
      </c>
    </row>
    <row r="40">
      <c r="A40" s="5" t="inlineStr">
        <is>
          <t>1421908</t>
        </is>
      </c>
      <c r="B40" s="5" t="inlineStr">
        <is>
          <t>ايرادات  رسوم خدمات  بلدية</t>
        </is>
      </c>
      <c r="C40" s="5" t="inlineStr">
        <is>
          <t>إيرادات إستثمارية</t>
        </is>
      </c>
      <c r="D40" s="5">
        <f>IF(AND(0.0=0,0.0=0),"متوقف","نشط")</f>
        <v/>
      </c>
      <c r="E40" s="6" t="n">
        <v>16385</v>
      </c>
      <c r="F40" s="6" t="n">
        <v>0</v>
      </c>
      <c r="G40" s="6" t="n">
        <v>0</v>
      </c>
      <c r="H40" s="6" t="n">
        <v>0</v>
      </c>
      <c r="I40" s="6" t="n">
        <v>0</v>
      </c>
      <c r="J40" s="6" t="n">
        <v>0</v>
      </c>
      <c r="K40" s="6">
        <f>IF(D40="متوقف",0,H40*الافتراضات!$B$4)</f>
        <v/>
      </c>
      <c r="L40" s="7">
        <f>IF(G40=0,"",K40/G40-1)</f>
        <v/>
      </c>
      <c r="M40" s="6">
        <f>IFERROR(VLOOKUP(A40,التوقعات!$A$4:$I$41,9,FALSE),0)</f>
        <v/>
      </c>
      <c r="N40" s="7">
        <f>IF(M40=0,"",K40/M40)</f>
        <v/>
      </c>
    </row>
    <row r="41">
      <c r="A41" s="5" t="inlineStr">
        <is>
          <t>142161</t>
        </is>
      </c>
      <c r="B41" s="5" t="inlineStr">
        <is>
          <t>تاجير مباني سكنية</t>
        </is>
      </c>
      <c r="C41" s="5" t="inlineStr">
        <is>
          <t>إيرادات إستثمارية</t>
        </is>
      </c>
      <c r="D41" s="5">
        <f>IF(AND(0.0=0,0.0=0),"متوقف","نشط")</f>
        <v/>
      </c>
      <c r="E41" s="6" t="n">
        <v>0</v>
      </c>
      <c r="F41" s="6" t="n">
        <v>0</v>
      </c>
      <c r="G41" s="6" t="n">
        <v>6000</v>
      </c>
      <c r="H41" s="6" t="n">
        <v>0</v>
      </c>
      <c r="I41" s="6" t="n">
        <v>0</v>
      </c>
      <c r="J41" s="6" t="n">
        <v>0</v>
      </c>
      <c r="K41" s="6">
        <f>IF(D41="متوقف",0,H41*الافتراضات!$B$4)</f>
        <v/>
      </c>
      <c r="L41" s="7">
        <f>IF(G41=0,"",K41/G41-1)</f>
        <v/>
      </c>
      <c r="M41" s="6">
        <f>IFERROR(VLOOKUP(A41,التوقعات!$A$4:$I$41,9,FALSE),0)</f>
        <v/>
      </c>
      <c r="N41" s="7">
        <f>IF(M41=0,"",K41/M41)</f>
        <v/>
      </c>
    </row>
    <row r="42">
      <c r="A42" s="8" t="n"/>
      <c r="B42" s="8" t="inlineStr">
        <is>
          <t>الإجمالي</t>
        </is>
      </c>
      <c r="C42" s="8" t="n"/>
      <c r="D42" s="8" t="n"/>
      <c r="E42" s="9">
        <f>SUM(E4:E41)</f>
        <v/>
      </c>
      <c r="F42" s="9">
        <f>SUM(F4:F41)</f>
        <v/>
      </c>
      <c r="G42" s="9">
        <f>SUM(G4:G41)</f>
        <v/>
      </c>
      <c r="H42" s="9">
        <f>SUM(H4:H41)</f>
        <v/>
      </c>
      <c r="I42" s="9">
        <f>SUM(I4:I41)</f>
        <v/>
      </c>
      <c r="J42" s="9">
        <f>SUM(J4:J41)</f>
        <v/>
      </c>
      <c r="K42" s="9">
        <f>SUM(K4:K41)</f>
        <v/>
      </c>
      <c r="L42" s="10">
        <f>K42/G42-1</f>
        <v/>
      </c>
      <c r="M42" s="9">
        <f>SUM(M4:M41)</f>
        <v/>
      </c>
      <c r="N42" s="10">
        <f>K42/M42</f>
        <v/>
      </c>
    </row>
  </sheetData>
  <autoFilter ref="A3:N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3"/>
  <sheetViews>
    <sheetView rightToLeft="1"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16" customWidth="1" min="3" max="3"/>
    <col width="14" customWidth="1" min="4" max="4"/>
    <col width="14" customWidth="1" min="5" max="5"/>
    <col width="14" customWidth="1" min="6" max="6"/>
    <col width="16" customWidth="1" min="7" max="7"/>
    <col width="12" customWidth="1" min="8" max="8"/>
    <col width="16" customWidth="1" min="9" max="9"/>
    <col width="16" customWidth="1" min="10" max="10"/>
    <col width="16" customWidth="1" min="11" max="11"/>
    <col width="16" customWidth="1" min="12" max="12"/>
    <col width="12" customWidth="1" min="13" max="13"/>
    <col width="10" customWidth="1" min="14" max="14"/>
    <col width="90" customWidth="1" min="15" max="15"/>
  </cols>
  <sheetData>
    <row r="1">
      <c r="A1" s="1" t="inlineStr">
        <is>
          <t>لماذا هذا التوقع؟ تحليل كل حساب والسيناريو الأسوأ لإقفال 2026 (محصّل)</t>
        </is>
      </c>
    </row>
    <row r="2" ht="44" customHeight="1">
      <c r="A2" s="12" t="inlineStr">
        <is>
          <t>التوقع الأساسي = المحصل حتى سبتمبر × 12÷9. السيناريو الأسوأ لكل حساب = الأكبر بين (المحصل حتى سبتمبر) و(الأصغر بين التوقع الأساسي ومحصل 2025)، أي: لا نمو عن 2025، والقفزات لا تتكرر، ولا ينزل الحساب عما حُصّل فعلاً. الحد الأدنى المطلق = المحصل حتى سبتمبر بدون أي تحصيل في الربع الأخير. نص السبب ثابت بحسب الافتراضات الحالية.</t>
        </is>
      </c>
    </row>
    <row r="3">
      <c r="A3" s="2" t="inlineStr">
        <is>
          <t>الملخص:</t>
        </is>
      </c>
      <c r="C3" s="13" t="inlineStr">
        <is>
          <t>التوقع الأساسي</t>
        </is>
      </c>
      <c r="D3" s="14">
        <f>J43</f>
        <v/>
      </c>
      <c r="E3" s="13" t="inlineStr">
        <is>
          <t>السيناريو الأسوأ</t>
        </is>
      </c>
      <c r="F3" s="14">
        <f>K43</f>
        <v/>
      </c>
      <c r="G3" s="13" t="inlineStr">
        <is>
          <t>الحد الأدنى المطلق</t>
        </is>
      </c>
      <c r="H3" s="14">
        <f>G43</f>
        <v/>
      </c>
      <c r="I3" s="13" t="inlineStr">
        <is>
          <t>محصل 2025</t>
        </is>
      </c>
      <c r="J3" s="14">
        <f>F43</f>
        <v/>
      </c>
    </row>
    <row r="4" ht="42" customHeight="1">
      <c r="A4" s="4" t="inlineStr">
        <is>
          <t>رقم الحساب</t>
        </is>
      </c>
      <c r="B4" s="4" t="inlineStr">
        <is>
          <t>اسم الحساب</t>
        </is>
      </c>
      <c r="C4" s="4" t="inlineStr">
        <is>
          <t>التبويب</t>
        </is>
      </c>
      <c r="D4" s="4" t="inlineStr">
        <is>
          <t>2023 محصّل</t>
        </is>
      </c>
      <c r="E4" s="4" t="inlineStr">
        <is>
          <t>2024 محصّل</t>
        </is>
      </c>
      <c r="F4" s="4" t="inlineStr">
        <is>
          <t>2025 محصّل</t>
        </is>
      </c>
      <c r="G4" s="4" t="inlineStr">
        <is>
          <t>2026 حتى سبتمبر</t>
        </is>
      </c>
      <c r="H4" s="4" t="inlineStr">
        <is>
          <t>حتى سبتمبر ÷ 2025</t>
        </is>
      </c>
      <c r="I4" s="4" t="inlineStr">
        <is>
          <t>تحصيل الربع الأخير المتوقع</t>
        </is>
      </c>
      <c r="J4" s="4" t="inlineStr">
        <is>
          <t>التوقع الأساسي</t>
        </is>
      </c>
      <c r="K4" s="4" t="inlineStr">
        <is>
          <t>السيناريو الأسوأ</t>
        </is>
      </c>
      <c r="L4" s="4" t="inlineStr">
        <is>
          <t>الفرق (أسوأ − أساسي)</t>
        </is>
      </c>
      <c r="M4" s="4" t="inlineStr">
        <is>
          <t>حصة الحساب من الأساسي</t>
        </is>
      </c>
      <c r="N4" s="4" t="inlineStr">
        <is>
          <t>مستوى الخطر</t>
        </is>
      </c>
      <c r="O4" s="4" t="inlineStr">
        <is>
          <t>سبب التوقع</t>
        </is>
      </c>
    </row>
    <row r="5">
      <c r="A5" s="5" t="inlineStr">
        <is>
          <t>1438001</t>
        </is>
      </c>
      <c r="B5" s="5" t="inlineStr">
        <is>
          <t>جزاءات و غرامات مفروضة بموجب أنظمة الجهة</t>
        </is>
      </c>
      <c r="C5" s="5" t="inlineStr">
        <is>
          <t>جزاءات وغرامات</t>
        </is>
      </c>
      <c r="D5" s="6">
        <f>'توقع المحصل 2026'!E4</f>
        <v/>
      </c>
      <c r="E5" s="6">
        <f>'توقع المحصل 2026'!F4</f>
        <v/>
      </c>
      <c r="F5" s="6">
        <f>'توقع المحصل 2026'!G4</f>
        <v/>
      </c>
      <c r="G5" s="6">
        <f>'توقع المحصل 2026'!H4</f>
        <v/>
      </c>
      <c r="H5" s="15">
        <f>IF(F5=0,"",G5/F5)</f>
        <v/>
      </c>
      <c r="I5" s="6">
        <f>J5-G5</f>
        <v/>
      </c>
      <c r="J5" s="6">
        <f>'توقع المحصل 2026'!K4</f>
        <v/>
      </c>
      <c r="K5" s="6">
        <f>IF(J5=0,0,MAX(G5,MIN(J5,F5)))</f>
        <v/>
      </c>
      <c r="L5" s="6">
        <f>K5-J5</f>
        <v/>
      </c>
      <c r="M5" s="7">
        <f>J5/J$43</f>
        <v/>
      </c>
      <c r="N5" s="5" t="inlineStr">
        <is>
          <t>مرتفع</t>
        </is>
      </c>
      <c r="O5" s="16" t="inlineStr">
        <is>
          <t>قفزة: المحصل حتى سبتمبر (370.6م) يعادل 120% من كل 2025 (308.0م)، والتوقع يفترض أن القفزة تستمر في الربع الأخير. احتمال المبالغة مرتفع.</t>
        </is>
      </c>
    </row>
    <row r="6">
      <c r="A6" s="5" t="inlineStr">
        <is>
          <t>14155</t>
        </is>
      </c>
      <c r="B6" s="5" t="inlineStr">
        <is>
          <t>ريع الأراضي (تأجير الأراض )</t>
        </is>
      </c>
      <c r="C6" s="5" t="inlineStr">
        <is>
          <t>إيرادات إستثمارية</t>
        </is>
      </c>
      <c r="D6" s="6">
        <f>'توقع المحصل 2026'!E5</f>
        <v/>
      </c>
      <c r="E6" s="6">
        <f>'توقع المحصل 2026'!F5</f>
        <v/>
      </c>
      <c r="F6" s="6">
        <f>'توقع المحصل 2026'!G5</f>
        <v/>
      </c>
      <c r="G6" s="6">
        <f>'توقع المحصل 2026'!H5</f>
        <v/>
      </c>
      <c r="H6" s="15">
        <f>IF(F6=0,"",G6/F6)</f>
        <v/>
      </c>
      <c r="I6" s="6">
        <f>J6-G6</f>
        <v/>
      </c>
      <c r="J6" s="6">
        <f>'توقع المحصل 2026'!K5</f>
        <v/>
      </c>
      <c r="K6" s="6">
        <f>IF(J6=0,0,MAX(G6,MIN(J6,F6)))</f>
        <v/>
      </c>
      <c r="L6" s="6">
        <f>K6-J6</f>
        <v/>
      </c>
      <c r="M6" s="7">
        <f>J6/J$43</f>
        <v/>
      </c>
      <c r="N6" s="5" t="inlineStr">
        <is>
          <t>مرتفع</t>
        </is>
      </c>
      <c r="O6" s="16" t="inlineStr">
        <is>
          <t>المحصل حتى سبتمبر (612.9م) بلغ 94% من كل 2025 (649.3م). إضافة الربع الأخير بنفس الوتيرة ترفع التوقع 26% فوق 2025، وإن كان التحصيل يتركز في بداية السنة فالتوقع مبالغ فيه.</t>
        </is>
      </c>
    </row>
    <row r="7">
      <c r="A7" s="5" t="inlineStr">
        <is>
          <t>142113</t>
        </is>
      </c>
      <c r="B7" s="5" t="inlineStr">
        <is>
          <t>ايرادات  اللوحات الدعائية</t>
        </is>
      </c>
      <c r="C7" s="5" t="inlineStr">
        <is>
          <t>الرسوم والتراخيص</t>
        </is>
      </c>
      <c r="D7" s="6">
        <f>'توقع المحصل 2026'!E6</f>
        <v/>
      </c>
      <c r="E7" s="6">
        <f>'توقع المحصل 2026'!F6</f>
        <v/>
      </c>
      <c r="F7" s="6">
        <f>'توقع المحصل 2026'!G6</f>
        <v/>
      </c>
      <c r="G7" s="6">
        <f>'توقع المحصل 2026'!H6</f>
        <v/>
      </c>
      <c r="H7" s="15">
        <f>IF(F7=0,"",G7/F7)</f>
        <v/>
      </c>
      <c r="I7" s="6">
        <f>J7-G7</f>
        <v/>
      </c>
      <c r="J7" s="6">
        <f>'توقع المحصل 2026'!K6</f>
        <v/>
      </c>
      <c r="K7" s="6">
        <f>IF(J7=0,0,MAX(G7,MIN(J7,F7)))</f>
        <v/>
      </c>
      <c r="L7" s="6">
        <f>K7-J7</f>
        <v/>
      </c>
      <c r="M7" s="7">
        <f>J7/J$43</f>
        <v/>
      </c>
      <c r="N7" s="5" t="inlineStr">
        <is>
          <t>مرتفع</t>
        </is>
      </c>
      <c r="O7" s="16" t="inlineStr">
        <is>
          <t>قفزة: المحصل حتى سبتمبر (122.0م) يعادل 118% من كل 2025 (103.6م)، والتوقع يفترض أن القفزة تستمر في الربع الأخير. احتمال المبالغة مرتفع.</t>
        </is>
      </c>
    </row>
    <row r="8">
      <c r="A8" s="5" t="inlineStr">
        <is>
          <t>11452104</t>
        </is>
      </c>
      <c r="B8" s="5" t="inlineStr">
        <is>
          <t>إصدار رخص الأنشطة التجارية</t>
        </is>
      </c>
      <c r="C8" s="5" t="inlineStr">
        <is>
          <t>الرسوم والتراخيص</t>
        </is>
      </c>
      <c r="D8" s="6">
        <f>'توقع المحصل 2026'!E7</f>
        <v/>
      </c>
      <c r="E8" s="6">
        <f>'توقع المحصل 2026'!F7</f>
        <v/>
      </c>
      <c r="F8" s="6">
        <f>'توقع المحصل 2026'!G7</f>
        <v/>
      </c>
      <c r="G8" s="6">
        <f>'توقع المحصل 2026'!H7</f>
        <v/>
      </c>
      <c r="H8" s="15">
        <f>IF(F8=0,"",G8/F8)</f>
        <v/>
      </c>
      <c r="I8" s="6">
        <f>J8-G8</f>
        <v/>
      </c>
      <c r="J8" s="6">
        <f>'توقع المحصل 2026'!K7</f>
        <v/>
      </c>
      <c r="K8" s="6">
        <f>IF(J8=0,0,MAX(G8,MIN(J8,F8)))</f>
        <v/>
      </c>
      <c r="L8" s="6">
        <f>K8-J8</f>
        <v/>
      </c>
      <c r="M8" s="7">
        <f>J8/J$43</f>
        <v/>
      </c>
      <c r="N8" s="5" t="inlineStr">
        <is>
          <t>مرتفع</t>
        </is>
      </c>
      <c r="O8" s="16" t="inlineStr">
        <is>
          <t>المحصل حتى سبتمبر (250.4م) بلغ 94% من كل 2025 (267.5م). إضافة الربع الأخير بنفس الوتيرة ترفع التوقع 25% فوق 2025، وإن كان التحصيل يتركز في بداية السنة فالتوقع مبالغ فيه.</t>
        </is>
      </c>
    </row>
    <row r="9">
      <c r="A9" s="5" t="inlineStr">
        <is>
          <t>11452103</t>
        </is>
      </c>
      <c r="B9" s="5" t="inlineStr">
        <is>
          <t>ايراد اصدار تراخيص المباني والاسوار - أمانة منطقة الرياض</t>
        </is>
      </c>
      <c r="C9" s="5" t="inlineStr">
        <is>
          <t>الرسوم والتراخيص</t>
        </is>
      </c>
      <c r="D9" s="6">
        <f>'توقع المحصل 2026'!E8</f>
        <v/>
      </c>
      <c r="E9" s="6">
        <f>'توقع المحصل 2026'!F8</f>
        <v/>
      </c>
      <c r="F9" s="6">
        <f>'توقع المحصل 2026'!G8</f>
        <v/>
      </c>
      <c r="G9" s="6">
        <f>'توقع المحصل 2026'!H8</f>
        <v/>
      </c>
      <c r="H9" s="15">
        <f>IF(F9=0,"",G9/F9)</f>
        <v/>
      </c>
      <c r="I9" s="6">
        <f>J9-G9</f>
        <v/>
      </c>
      <c r="J9" s="6">
        <f>'توقع المحصل 2026'!K8</f>
        <v/>
      </c>
      <c r="K9" s="6">
        <f>IF(J9=0,0,MAX(G9,MIN(J9,F9)))</f>
        <v/>
      </c>
      <c r="L9" s="6">
        <f>K9-J9</f>
        <v/>
      </c>
      <c r="M9" s="7">
        <f>J9/J$43</f>
        <v/>
      </c>
      <c r="N9" s="5" t="inlineStr">
        <is>
          <t>منخفض</t>
        </is>
      </c>
      <c r="O9" s="16" t="inlineStr">
        <is>
          <t>مستقر: التوقع (272.0م) قريب من محصل 2025 (319.7م).</t>
        </is>
      </c>
    </row>
    <row r="10">
      <c r="A10" s="5" t="inlineStr">
        <is>
          <t>11452512</t>
        </is>
      </c>
      <c r="B10" s="5" t="inlineStr">
        <is>
          <t>ايرادات لوحات المحلات</t>
        </is>
      </c>
      <c r="C10" s="5" t="inlineStr">
        <is>
          <t>الرسوم والتراخيص</t>
        </is>
      </c>
      <c r="D10" s="6">
        <f>'توقع المحصل 2026'!E9</f>
        <v/>
      </c>
      <c r="E10" s="6">
        <f>'توقع المحصل 2026'!F9</f>
        <v/>
      </c>
      <c r="F10" s="6">
        <f>'توقع المحصل 2026'!G9</f>
        <v/>
      </c>
      <c r="G10" s="6">
        <f>'توقع المحصل 2026'!H9</f>
        <v/>
      </c>
      <c r="H10" s="15">
        <f>IF(F10=0,"",G10/F10)</f>
        <v/>
      </c>
      <c r="I10" s="6">
        <f>J10-G10</f>
        <v/>
      </c>
      <c r="J10" s="6">
        <f>'توقع المحصل 2026'!K9</f>
        <v/>
      </c>
      <c r="K10" s="6">
        <f>IF(J10=0,0,MAX(G10,MIN(J10,F10)))</f>
        <v/>
      </c>
      <c r="L10" s="6">
        <f>K10-J10</f>
        <v/>
      </c>
      <c r="M10" s="7">
        <f>J10/J$43</f>
        <v/>
      </c>
      <c r="N10" s="5" t="inlineStr">
        <is>
          <t>متوسط</t>
        </is>
      </c>
      <c r="O10" s="16" t="inlineStr">
        <is>
          <t>التوقع أعلى من 2025 بنسبة 20% لأن وتيرة التحصيل حتى سبتمبر أعلى.</t>
        </is>
      </c>
    </row>
    <row r="11">
      <c r="A11" s="5" t="inlineStr">
        <is>
          <t>11442</t>
        </is>
      </c>
      <c r="B11" s="5" t="inlineStr">
        <is>
          <t>اشغال مرافق الايواء</t>
        </is>
      </c>
      <c r="C11" s="5" t="inlineStr">
        <is>
          <t>التبغ والإيواء</t>
        </is>
      </c>
      <c r="D11" s="6">
        <f>'توقع المحصل 2026'!E10</f>
        <v/>
      </c>
      <c r="E11" s="6">
        <f>'توقع المحصل 2026'!F10</f>
        <v/>
      </c>
      <c r="F11" s="6">
        <f>'توقع المحصل 2026'!G10</f>
        <v/>
      </c>
      <c r="G11" s="6">
        <f>'توقع المحصل 2026'!H10</f>
        <v/>
      </c>
      <c r="H11" s="15">
        <f>IF(F11=0,"",G11/F11)</f>
        <v/>
      </c>
      <c r="I11" s="6">
        <f>J11-G11</f>
        <v/>
      </c>
      <c r="J11" s="6">
        <f>'توقع المحصل 2026'!K10</f>
        <v/>
      </c>
      <c r="K11" s="6">
        <f>IF(J11=0,0,MAX(G11,MIN(J11,F11)))</f>
        <v/>
      </c>
      <c r="L11" s="6">
        <f>K11-J11</f>
        <v/>
      </c>
      <c r="M11" s="7">
        <f>J11/J$43</f>
        <v/>
      </c>
      <c r="N11" s="5" t="inlineStr">
        <is>
          <t>منخفض</t>
        </is>
      </c>
      <c r="O11" s="16" t="inlineStr">
        <is>
          <t>مستقر: التوقع (182.2م) قريب من محصل 2025 (199.1م).</t>
        </is>
      </c>
    </row>
    <row r="12">
      <c r="A12" s="5" t="inlineStr">
        <is>
          <t>142162</t>
        </is>
      </c>
      <c r="B12" s="5" t="inlineStr">
        <is>
          <t>إيرادات  تأجير المرافق</t>
        </is>
      </c>
      <c r="C12" s="5" t="inlineStr">
        <is>
          <t>إيرادات إستثمارية</t>
        </is>
      </c>
      <c r="D12" s="6">
        <f>'توقع المحصل 2026'!E11</f>
        <v/>
      </c>
      <c r="E12" s="6">
        <f>'توقع المحصل 2026'!F11</f>
        <v/>
      </c>
      <c r="F12" s="6">
        <f>'توقع المحصل 2026'!G11</f>
        <v/>
      </c>
      <c r="G12" s="6">
        <f>'توقع المحصل 2026'!H11</f>
        <v/>
      </c>
      <c r="H12" s="15">
        <f>IF(F12=0,"",G12/F12)</f>
        <v/>
      </c>
      <c r="I12" s="6">
        <f>J12-G12</f>
        <v/>
      </c>
      <c r="J12" s="6">
        <f>'توقع المحصل 2026'!K11</f>
        <v/>
      </c>
      <c r="K12" s="6">
        <f>IF(J12=0,0,MAX(G12,MIN(J12,F12)))</f>
        <v/>
      </c>
      <c r="L12" s="6">
        <f>K12-J12</f>
        <v/>
      </c>
      <c r="M12" s="7">
        <f>J12/J$43</f>
        <v/>
      </c>
      <c r="N12" s="5" t="inlineStr">
        <is>
          <t>منخفض</t>
        </is>
      </c>
      <c r="O12" s="16" t="inlineStr">
        <is>
          <t>التوقع أدنى من 2025 بنسبة 39% لأن وتيرة التحصيل حتى سبتمبر أقل.</t>
        </is>
      </c>
    </row>
    <row r="13">
      <c r="A13" s="5" t="inlineStr">
        <is>
          <t>1421999</t>
        </is>
      </c>
      <c r="B13" s="5" t="inlineStr">
        <is>
          <t>مبيعات أخرى</t>
        </is>
      </c>
      <c r="C13" s="5" t="inlineStr">
        <is>
          <t>أخرى</t>
        </is>
      </c>
      <c r="D13" s="6">
        <f>'توقع المحصل 2026'!E12</f>
        <v/>
      </c>
      <c r="E13" s="6">
        <f>'توقع المحصل 2026'!F12</f>
        <v/>
      </c>
      <c r="F13" s="6">
        <f>'توقع المحصل 2026'!G12</f>
        <v/>
      </c>
      <c r="G13" s="6">
        <f>'توقع المحصل 2026'!H12</f>
        <v/>
      </c>
      <c r="H13" s="15">
        <f>IF(F13=0,"",G13/F13)</f>
        <v/>
      </c>
      <c r="I13" s="6">
        <f>J13-G13</f>
        <v/>
      </c>
      <c r="J13" s="6">
        <f>'توقع المحصل 2026'!K12</f>
        <v/>
      </c>
      <c r="K13" s="6">
        <f>IF(J13=0,0,MAX(G13,MIN(J13,F13)))</f>
        <v/>
      </c>
      <c r="L13" s="6">
        <f>K13-J13</f>
        <v/>
      </c>
      <c r="M13" s="7">
        <f>J13/J$43</f>
        <v/>
      </c>
      <c r="N13" s="5" t="inlineStr">
        <is>
          <t>مرتفع</t>
        </is>
      </c>
      <c r="O13" s="16" t="inlineStr">
        <is>
          <t>قفزة: المحصل حتى سبتمبر (134.1م) يعادل 223% من كل 2025 (60.1م)، والتوقع يفترض أن القفزة تستمر في الربع الأخير. احتمال المبالغة مرتفع.</t>
        </is>
      </c>
    </row>
    <row r="14">
      <c r="A14" s="5" t="inlineStr">
        <is>
          <t>144122</t>
        </is>
      </c>
      <c r="B14" s="5" t="inlineStr">
        <is>
          <t>إيرادات  متنوعه</t>
        </is>
      </c>
      <c r="C14" s="5" t="inlineStr">
        <is>
          <t>أخرى</t>
        </is>
      </c>
      <c r="D14" s="6">
        <f>'توقع المحصل 2026'!E13</f>
        <v/>
      </c>
      <c r="E14" s="6">
        <f>'توقع المحصل 2026'!F13</f>
        <v/>
      </c>
      <c r="F14" s="6">
        <f>'توقع المحصل 2026'!G13</f>
        <v/>
      </c>
      <c r="G14" s="6">
        <f>'توقع المحصل 2026'!H13</f>
        <v/>
      </c>
      <c r="H14" s="15">
        <f>IF(F14=0,"",G14/F14)</f>
        <v/>
      </c>
      <c r="I14" s="6">
        <f>J14-G14</f>
        <v/>
      </c>
      <c r="J14" s="6">
        <f>'توقع المحصل 2026'!K13</f>
        <v/>
      </c>
      <c r="K14" s="6">
        <f>IF(J14=0,0,MAX(G14,MIN(J14,F14)))</f>
        <v/>
      </c>
      <c r="L14" s="6">
        <f>K14-J14</f>
        <v/>
      </c>
      <c r="M14" s="7">
        <f>J14/J$43</f>
        <v/>
      </c>
      <c r="N14" s="5" t="inlineStr">
        <is>
          <t>مرتفع</t>
        </is>
      </c>
      <c r="O14" s="16" t="inlineStr">
        <is>
          <t>قفزة: المحصل حتى سبتمبر (20.8م) يعادل 840% من كل 2025 (2.5م)، والتوقع يفترض أن القفزة تستمر في الربع الأخير. احتمال المبالغة مرتفع.</t>
        </is>
      </c>
    </row>
    <row r="15">
      <c r="A15" s="5" t="inlineStr">
        <is>
          <t>1421911</t>
        </is>
      </c>
      <c r="B15" s="5" t="inlineStr">
        <is>
          <t>رسم مبيعات محلات تقديم منتجات التبغ</t>
        </is>
      </c>
      <c r="C15" s="5" t="inlineStr">
        <is>
          <t>التبغ والإيواء</t>
        </is>
      </c>
      <c r="D15" s="6">
        <f>'توقع المحصل 2026'!E14</f>
        <v/>
      </c>
      <c r="E15" s="6">
        <f>'توقع المحصل 2026'!F14</f>
        <v/>
      </c>
      <c r="F15" s="6">
        <f>'توقع المحصل 2026'!G14</f>
        <v/>
      </c>
      <c r="G15" s="6">
        <f>'توقع المحصل 2026'!H14</f>
        <v/>
      </c>
      <c r="H15" s="15">
        <f>IF(F15=0,"",G15/F15)</f>
        <v/>
      </c>
      <c r="I15" s="6">
        <f>J15-G15</f>
        <v/>
      </c>
      <c r="J15" s="6">
        <f>'توقع المحصل 2026'!K14</f>
        <v/>
      </c>
      <c r="K15" s="6">
        <f>IF(J15=0,0,MAX(G15,MIN(J15,F15)))</f>
        <v/>
      </c>
      <c r="L15" s="6">
        <f>K15-J15</f>
        <v/>
      </c>
      <c r="M15" s="7">
        <f>J15/J$43</f>
        <v/>
      </c>
      <c r="N15" s="5" t="inlineStr">
        <is>
          <t>منخفض</t>
        </is>
      </c>
      <c r="O15" s="16" t="inlineStr">
        <is>
          <t>مستقر: التوقع (75.6م) قريب من محصل 2025 (67.6م).</t>
        </is>
      </c>
    </row>
    <row r="16">
      <c r="A16" s="5" t="inlineStr">
        <is>
          <t>1421909</t>
        </is>
      </c>
      <c r="B16" s="5" t="inlineStr">
        <is>
          <t>جمع النفايات</t>
        </is>
      </c>
      <c r="C16" s="5" t="inlineStr">
        <is>
          <t>الرسوم والتراخيص</t>
        </is>
      </c>
      <c r="D16" s="6">
        <f>'توقع المحصل 2026'!E15</f>
        <v/>
      </c>
      <c r="E16" s="6">
        <f>'توقع المحصل 2026'!F15</f>
        <v/>
      </c>
      <c r="F16" s="6">
        <f>'توقع المحصل 2026'!G15</f>
        <v/>
      </c>
      <c r="G16" s="6">
        <f>'توقع المحصل 2026'!H15</f>
        <v/>
      </c>
      <c r="H16" s="15">
        <f>IF(F16=0,"",G16/F16)</f>
        <v/>
      </c>
      <c r="I16" s="6">
        <f>J16-G16</f>
        <v/>
      </c>
      <c r="J16" s="6">
        <f>'توقع المحصل 2026'!K15</f>
        <v/>
      </c>
      <c r="K16" s="6">
        <f>IF(J16=0,0,MAX(G16,MIN(J16,F16)))</f>
        <v/>
      </c>
      <c r="L16" s="6">
        <f>K16-J16</f>
        <v/>
      </c>
      <c r="M16" s="7">
        <f>J16/J$43</f>
        <v/>
      </c>
      <c r="N16" s="5" t="inlineStr">
        <is>
          <t>مرتفع</t>
        </is>
      </c>
      <c r="O16" s="16" t="inlineStr">
        <is>
          <t>المحصل حتى سبتمبر (72.2م) بلغ 99% من كل 2025 (72.8م). إضافة الربع الأخير بنفس الوتيرة ترفع التوقع 32% فوق 2025، وإن كان التحصيل يتركز في بداية السنة فالتوقع مبالغ فيه.</t>
        </is>
      </c>
    </row>
    <row r="17">
      <c r="A17" s="5" t="inlineStr">
        <is>
          <t>11452105</t>
        </is>
      </c>
      <c r="B17" s="5" t="inlineStr">
        <is>
          <t>رسوم تراخيص حفر الشوارع</t>
        </is>
      </c>
      <c r="C17" s="5" t="inlineStr">
        <is>
          <t>الرسوم والتراخيص</t>
        </is>
      </c>
      <c r="D17" s="6">
        <f>'توقع المحصل 2026'!E16</f>
        <v/>
      </c>
      <c r="E17" s="6">
        <f>'توقع المحصل 2026'!F16</f>
        <v/>
      </c>
      <c r="F17" s="6">
        <f>'توقع المحصل 2026'!G16</f>
        <v/>
      </c>
      <c r="G17" s="6">
        <f>'توقع المحصل 2026'!H16</f>
        <v/>
      </c>
      <c r="H17" s="15">
        <f>IF(F17=0,"",G17/F17)</f>
        <v/>
      </c>
      <c r="I17" s="6">
        <f>J17-G17</f>
        <v/>
      </c>
      <c r="J17" s="6">
        <f>'توقع المحصل 2026'!K16</f>
        <v/>
      </c>
      <c r="K17" s="6">
        <f>IF(J17=0,0,MAX(G17,MIN(J17,F17)))</f>
        <v/>
      </c>
      <c r="L17" s="6">
        <f>K17-J17</f>
        <v/>
      </c>
      <c r="M17" s="7">
        <f>J17/J$43</f>
        <v/>
      </c>
      <c r="N17" s="5" t="inlineStr">
        <is>
          <t>مرتفع</t>
        </is>
      </c>
      <c r="O17" s="16" t="inlineStr">
        <is>
          <t>تراجع حاد: المحصل حتى سبتمبر (0.0م) يعادل 0% فقط من 2025 (0.6م)؛ التوقع يستمر على هذا المستوى المنخفض.</t>
        </is>
      </c>
    </row>
    <row r="18">
      <c r="A18" s="5" t="inlineStr">
        <is>
          <t>11452108</t>
        </is>
      </c>
      <c r="B18" s="5" t="inlineStr">
        <is>
          <t>ايراد اصدار القرارات المساحية - أمانة منطقة الرياض</t>
        </is>
      </c>
      <c r="C18" s="5" t="inlineStr">
        <is>
          <t>الرسوم والتراخيص</t>
        </is>
      </c>
      <c r="D18" s="6">
        <f>'توقع المحصل 2026'!E17</f>
        <v/>
      </c>
      <c r="E18" s="6">
        <f>'توقع المحصل 2026'!F17</f>
        <v/>
      </c>
      <c r="F18" s="6">
        <f>'توقع المحصل 2026'!G17</f>
        <v/>
      </c>
      <c r="G18" s="6">
        <f>'توقع المحصل 2026'!H17</f>
        <v/>
      </c>
      <c r="H18" s="15">
        <f>IF(F18=0,"",G18/F18)</f>
        <v/>
      </c>
      <c r="I18" s="6">
        <f>J18-G18</f>
        <v/>
      </c>
      <c r="J18" s="6">
        <f>'توقع المحصل 2026'!K17</f>
        <v/>
      </c>
      <c r="K18" s="6">
        <f>IF(J18=0,0,MAX(G18,MIN(J18,F18)))</f>
        <v/>
      </c>
      <c r="L18" s="6">
        <f>K18-J18</f>
        <v/>
      </c>
      <c r="M18" s="7">
        <f>J18/J$43</f>
        <v/>
      </c>
      <c r="N18" s="5" t="inlineStr">
        <is>
          <t>مرتفع</t>
        </is>
      </c>
      <c r="O18" s="16" t="inlineStr">
        <is>
          <t>قفزة: المحصل حتى سبتمبر (31.2م) يعادل 127% من كل 2025 (24.5م)، والتوقع يفترض أن القفزة تستمر في الربع الأخير. احتمال المبالغة مرتفع.</t>
        </is>
      </c>
    </row>
    <row r="19">
      <c r="A19" s="5" t="inlineStr">
        <is>
          <t>1422108</t>
        </is>
      </c>
      <c r="B19" s="5" t="inlineStr">
        <is>
          <t>الشهادات الصحية</t>
        </is>
      </c>
      <c r="C19" s="5" t="inlineStr">
        <is>
          <t>الرسوم والتراخيص</t>
        </is>
      </c>
      <c r="D19" s="6">
        <f>'توقع المحصل 2026'!E18</f>
        <v/>
      </c>
      <c r="E19" s="6">
        <f>'توقع المحصل 2026'!F18</f>
        <v/>
      </c>
      <c r="F19" s="6">
        <f>'توقع المحصل 2026'!G18</f>
        <v/>
      </c>
      <c r="G19" s="6">
        <f>'توقع المحصل 2026'!H18</f>
        <v/>
      </c>
      <c r="H19" s="15">
        <f>IF(F19=0,"",G19/F19)</f>
        <v/>
      </c>
      <c r="I19" s="6">
        <f>J19-G19</f>
        <v/>
      </c>
      <c r="J19" s="6">
        <f>'توقع المحصل 2026'!K18</f>
        <v/>
      </c>
      <c r="K19" s="6">
        <f>IF(J19=0,0,MAX(G19,MIN(J19,F19)))</f>
        <v/>
      </c>
      <c r="L19" s="6">
        <f>K19-J19</f>
        <v/>
      </c>
      <c r="M19" s="7">
        <f>J19/J$43</f>
        <v/>
      </c>
      <c r="N19" s="5" t="inlineStr">
        <is>
          <t>منخفض</t>
        </is>
      </c>
      <c r="O19" s="16" t="inlineStr">
        <is>
          <t>مستقر: التوقع (23.5م) قريب من محصل 2025 (26.1م).</t>
        </is>
      </c>
    </row>
    <row r="20">
      <c r="A20" s="5" t="inlineStr">
        <is>
          <t>1422121</t>
        </is>
      </c>
      <c r="B20" s="5" t="inlineStr">
        <is>
          <t>رسم ترخيص نشاط تقديم منتجات التبغ</t>
        </is>
      </c>
      <c r="C20" s="5" t="inlineStr">
        <is>
          <t>التبغ والإيواء</t>
        </is>
      </c>
      <c r="D20" s="6">
        <f>'توقع المحصل 2026'!E19</f>
        <v/>
      </c>
      <c r="E20" s="6">
        <f>'توقع المحصل 2026'!F19</f>
        <v/>
      </c>
      <c r="F20" s="6">
        <f>'توقع المحصل 2026'!G19</f>
        <v/>
      </c>
      <c r="G20" s="6">
        <f>'توقع المحصل 2026'!H19</f>
        <v/>
      </c>
      <c r="H20" s="15">
        <f>IF(F20=0,"",G20/F20)</f>
        <v/>
      </c>
      <c r="I20" s="6">
        <f>J20-G20</f>
        <v/>
      </c>
      <c r="J20" s="6">
        <f>'توقع المحصل 2026'!K19</f>
        <v/>
      </c>
      <c r="K20" s="6">
        <f>IF(J20=0,0,MAX(G20,MIN(J20,F20)))</f>
        <v/>
      </c>
      <c r="L20" s="6">
        <f>K20-J20</f>
        <v/>
      </c>
      <c r="M20" s="7">
        <f>J20/J$43</f>
        <v/>
      </c>
      <c r="N20" s="5" t="inlineStr">
        <is>
          <t>متوسط</t>
        </is>
      </c>
      <c r="O20" s="16" t="inlineStr">
        <is>
          <t>التوقع أعلى من 2025 بنسبة 18% لأن وتيرة التحصيل حتى سبتمبر أعلى.</t>
        </is>
      </c>
    </row>
    <row r="21">
      <c r="A21" s="5" t="inlineStr">
        <is>
          <t>بدون رقم</t>
        </is>
      </c>
      <c r="B21" s="5" t="inlineStr">
        <is>
          <t>بدون رقم (خدمات علم + جزاءات)</t>
        </is>
      </c>
      <c r="C21" s="5" t="inlineStr">
        <is>
          <t>علم / جزاءات</t>
        </is>
      </c>
      <c r="D21" s="6">
        <f>'توقع المحصل 2026'!E20</f>
        <v/>
      </c>
      <c r="E21" s="6">
        <f>'توقع المحصل 2026'!F20</f>
        <v/>
      </c>
      <c r="F21" s="6">
        <f>'توقع المحصل 2026'!G20</f>
        <v/>
      </c>
      <c r="G21" s="6">
        <f>'توقع المحصل 2026'!H20</f>
        <v/>
      </c>
      <c r="H21" s="15">
        <f>IF(F21=0,"",G21/F21)</f>
        <v/>
      </c>
      <c r="I21" s="6">
        <f>J21-G21</f>
        <v/>
      </c>
      <c r="J21" s="6">
        <f>'توقع المحصل 2026'!K20</f>
        <v/>
      </c>
      <c r="K21" s="6">
        <f>IF(J21=0,0,MAX(G21,MIN(J21,F21)))</f>
        <v/>
      </c>
      <c r="L21" s="6">
        <f>K21-J21</f>
        <v/>
      </c>
      <c r="M21" s="7">
        <f>J21/J$43</f>
        <v/>
      </c>
      <c r="N21" s="5" t="inlineStr">
        <is>
          <t>مرتفع</t>
        </is>
      </c>
      <c r="O21" s="16" t="inlineStr">
        <is>
          <t>تراجع حاد: المحصل حتى سبتمبر (2.1م) يعادل 10% فقط من 2025 (21.8م)؛ التوقع يستمر على هذا المستوى المنخفض.</t>
        </is>
      </c>
    </row>
    <row r="22">
      <c r="A22" s="5" t="inlineStr">
        <is>
          <t>142163</t>
        </is>
      </c>
      <c r="B22" s="5" t="inlineStr">
        <is>
          <t>إيرادات  تأجير مباني تجارية</t>
        </is>
      </c>
      <c r="C22" s="5" t="inlineStr">
        <is>
          <t>إيرادات إستثمارية</t>
        </is>
      </c>
      <c r="D22" s="6">
        <f>'توقع المحصل 2026'!E21</f>
        <v/>
      </c>
      <c r="E22" s="6">
        <f>'توقع المحصل 2026'!F21</f>
        <v/>
      </c>
      <c r="F22" s="6">
        <f>'توقع المحصل 2026'!G21</f>
        <v/>
      </c>
      <c r="G22" s="6">
        <f>'توقع المحصل 2026'!H21</f>
        <v/>
      </c>
      <c r="H22" s="15">
        <f>IF(F22=0,"",G22/F22)</f>
        <v/>
      </c>
      <c r="I22" s="6">
        <f>J22-G22</f>
        <v/>
      </c>
      <c r="J22" s="6">
        <f>'توقع المحصل 2026'!K21</f>
        <v/>
      </c>
      <c r="K22" s="6">
        <f>IF(J22=0,0,MAX(G22,MIN(J22,F22)))</f>
        <v/>
      </c>
      <c r="L22" s="6">
        <f>K22-J22</f>
        <v/>
      </c>
      <c r="M22" s="7">
        <f>J22/J$43</f>
        <v/>
      </c>
      <c r="N22" s="5" t="inlineStr">
        <is>
          <t>مرتفع</t>
        </is>
      </c>
      <c r="O22" s="16" t="inlineStr">
        <is>
          <t>قفزة: المحصل حتى سبتمبر (10.2م) يعادل 339% من كل 2025 (3.0م)، والتوقع يفترض أن القفزة تستمر في الربع الأخير. احتمال المبالغة مرتفع.</t>
        </is>
      </c>
    </row>
    <row r="23">
      <c r="A23" s="5" t="inlineStr">
        <is>
          <t>1422109</t>
        </is>
      </c>
      <c r="B23" s="5" t="inlineStr">
        <is>
          <t>ايرادات  الكشفية</t>
        </is>
      </c>
      <c r="C23" s="5" t="inlineStr">
        <is>
          <t>الرسوم والتراخيص</t>
        </is>
      </c>
      <c r="D23" s="6">
        <f>'توقع المحصل 2026'!E22</f>
        <v/>
      </c>
      <c r="E23" s="6">
        <f>'توقع المحصل 2026'!F22</f>
        <v/>
      </c>
      <c r="F23" s="6">
        <f>'توقع المحصل 2026'!G22</f>
        <v/>
      </c>
      <c r="G23" s="6">
        <f>'توقع المحصل 2026'!H22</f>
        <v/>
      </c>
      <c r="H23" s="15">
        <f>IF(F23=0,"",G23/F23)</f>
        <v/>
      </c>
      <c r="I23" s="6">
        <f>J23-G23</f>
        <v/>
      </c>
      <c r="J23" s="6">
        <f>'توقع المحصل 2026'!K22</f>
        <v/>
      </c>
      <c r="K23" s="6">
        <f>IF(J23=0,0,MAX(G23,MIN(J23,F23)))</f>
        <v/>
      </c>
      <c r="L23" s="6">
        <f>K23-J23</f>
        <v/>
      </c>
      <c r="M23" s="7">
        <f>J23/J$43</f>
        <v/>
      </c>
      <c r="N23" s="5" t="inlineStr">
        <is>
          <t>منخفض</t>
        </is>
      </c>
      <c r="O23" s="16" t="inlineStr">
        <is>
          <t>مستقر: التوقع (7.6م) قريب من محصل 2025 (7.1م).</t>
        </is>
      </c>
    </row>
    <row r="24">
      <c r="A24" s="5" t="inlineStr">
        <is>
          <t>11452111</t>
        </is>
      </c>
      <c r="B24" s="5" t="inlineStr">
        <is>
          <t>المقابل المالي للسماح للأنشطة التجارية بالعمل (24) ساعة</t>
        </is>
      </c>
      <c r="C24" s="5" t="inlineStr">
        <is>
          <t>الرسوم والتراخيص</t>
        </is>
      </c>
      <c r="D24" s="6">
        <f>'توقع المحصل 2026'!E23</f>
        <v/>
      </c>
      <c r="E24" s="6">
        <f>'توقع المحصل 2026'!F23</f>
        <v/>
      </c>
      <c r="F24" s="6">
        <f>'توقع المحصل 2026'!G23</f>
        <v/>
      </c>
      <c r="G24" s="6">
        <f>'توقع المحصل 2026'!H23</f>
        <v/>
      </c>
      <c r="H24" s="15">
        <f>IF(F24=0,"",G24/F24)</f>
        <v/>
      </c>
      <c r="I24" s="6">
        <f>J24-G24</f>
        <v/>
      </c>
      <c r="J24" s="6">
        <f>'توقع المحصل 2026'!K23</f>
        <v/>
      </c>
      <c r="K24" s="6">
        <f>IF(J24=0,0,MAX(G24,MIN(J24,F24)))</f>
        <v/>
      </c>
      <c r="L24" s="6">
        <f>K24-J24</f>
        <v/>
      </c>
      <c r="M24" s="7">
        <f>J24/J$43</f>
        <v/>
      </c>
      <c r="N24" s="5" t="inlineStr">
        <is>
          <t>مرتفع</t>
        </is>
      </c>
      <c r="O24" s="16" t="inlineStr">
        <is>
          <t>قفزة: المحصل حتى سبتمبر (11.4م) يعادل 198% من كل 2025 (5.8م)، والتوقع يفترض أن القفزة تستمر في الربع الأخير. احتمال المبالغة مرتفع.</t>
        </is>
      </c>
    </row>
    <row r="25">
      <c r="A25" s="5" t="inlineStr">
        <is>
          <t>1421910</t>
        </is>
      </c>
      <c r="B25" s="5" t="inlineStr">
        <is>
          <t>اصدار تراخيص اشغال الارصفة العامة و الطرق</t>
        </is>
      </c>
      <c r="C25" s="5" t="inlineStr">
        <is>
          <t>الرسوم والتراخيص</t>
        </is>
      </c>
      <c r="D25" s="6">
        <f>'توقع المحصل 2026'!E24</f>
        <v/>
      </c>
      <c r="E25" s="6">
        <f>'توقع المحصل 2026'!F24</f>
        <v/>
      </c>
      <c r="F25" s="6">
        <f>'توقع المحصل 2026'!G24</f>
        <v/>
      </c>
      <c r="G25" s="6">
        <f>'توقع المحصل 2026'!H24</f>
        <v/>
      </c>
      <c r="H25" s="15">
        <f>IF(F25=0,"",G25/F25)</f>
        <v/>
      </c>
      <c r="I25" s="6">
        <f>J25-G25</f>
        <v/>
      </c>
      <c r="J25" s="6">
        <f>'توقع المحصل 2026'!K24</f>
        <v/>
      </c>
      <c r="K25" s="6">
        <f>IF(J25=0,0,MAX(G25,MIN(J25,F25)))</f>
        <v/>
      </c>
      <c r="L25" s="6">
        <f>K25-J25</f>
        <v/>
      </c>
      <c r="M25" s="7">
        <f>J25/J$43</f>
        <v/>
      </c>
      <c r="N25" s="5" t="inlineStr">
        <is>
          <t>مرتفع</t>
        </is>
      </c>
      <c r="O25" s="16" t="inlineStr">
        <is>
          <t>المحصل حتى سبتمبر (3.6م) بلغ 103% من كل 2025 (3.5م). إضافة الربع الأخير بنفس الوتيرة ترفع التوقع 37% فوق 2025، وإن كان التحصيل يتركز في بداية السنة فالتوقع مبالغ فيه.</t>
        </is>
      </c>
    </row>
    <row r="26">
      <c r="A26" s="5" t="inlineStr">
        <is>
          <t>1439</t>
        </is>
      </c>
      <c r="B26" s="5" t="inlineStr">
        <is>
          <t>ايرادات  مبيعات  ناتجه من النشاط غير مصنفة</t>
        </is>
      </c>
      <c r="C26" s="5" t="inlineStr">
        <is>
          <t>جزاءات وغرامات</t>
        </is>
      </c>
      <c r="D26" s="6">
        <f>'توقع المحصل 2026'!E25</f>
        <v/>
      </c>
      <c r="E26" s="6">
        <f>'توقع المحصل 2026'!F25</f>
        <v/>
      </c>
      <c r="F26" s="6">
        <f>'توقع المحصل 2026'!G25</f>
        <v/>
      </c>
      <c r="G26" s="6">
        <f>'توقع المحصل 2026'!H25</f>
        <v/>
      </c>
      <c r="H26" s="15">
        <f>IF(F26=0,"",G26/F26)</f>
        <v/>
      </c>
      <c r="I26" s="6">
        <f>J26-G26</f>
        <v/>
      </c>
      <c r="J26" s="6">
        <f>'توقع المحصل 2026'!K25</f>
        <v/>
      </c>
      <c r="K26" s="6">
        <f>IF(J26=0,0,MAX(G26,MIN(J26,F26)))</f>
        <v/>
      </c>
      <c r="L26" s="6">
        <f>K26-J26</f>
        <v/>
      </c>
      <c r="M26" s="7">
        <f>J26/J$43</f>
        <v/>
      </c>
      <c r="N26" s="5" t="inlineStr">
        <is>
          <t>مرتفع</t>
        </is>
      </c>
      <c r="O26" s="16" t="inlineStr">
        <is>
          <t>تراجع حاد: المحصل حتى سبتمبر (0.2م) يعادل 2% فقط من 2025 (8.5م)؛ التوقع يستمر على هذا المستوى المنخفض.</t>
        </is>
      </c>
    </row>
    <row r="27">
      <c r="A27" s="5" t="inlineStr">
        <is>
          <t>1421901</t>
        </is>
      </c>
      <c r="B27" s="5" t="inlineStr">
        <is>
          <t>بيع الوثائق والأنظمة</t>
        </is>
      </c>
      <c r="C27" s="5" t="inlineStr">
        <is>
          <t>أخرى</t>
        </is>
      </c>
      <c r="D27" s="6">
        <f>'توقع المحصل 2026'!E26</f>
        <v/>
      </c>
      <c r="E27" s="6">
        <f>'توقع المحصل 2026'!F26</f>
        <v/>
      </c>
      <c r="F27" s="6">
        <f>'توقع المحصل 2026'!G26</f>
        <v/>
      </c>
      <c r="G27" s="6">
        <f>'توقع المحصل 2026'!H26</f>
        <v/>
      </c>
      <c r="H27" s="15">
        <f>IF(F27=0,"",G27/F27)</f>
        <v/>
      </c>
      <c r="I27" s="6">
        <f>J27-G27</f>
        <v/>
      </c>
      <c r="J27" s="6">
        <f>'توقع المحصل 2026'!K26</f>
        <v/>
      </c>
      <c r="K27" s="6">
        <f>IF(J27=0,0,MAX(G27,MIN(J27,F27)))</f>
        <v/>
      </c>
      <c r="L27" s="6">
        <f>K27-J27</f>
        <v/>
      </c>
      <c r="M27" s="7">
        <f>J27/J$43</f>
        <v/>
      </c>
      <c r="N27" s="5" t="inlineStr">
        <is>
          <t>منخفض</t>
        </is>
      </c>
      <c r="O27" s="16" t="inlineStr">
        <is>
          <t>مستقر: التوقع (2.2م) قريب من محصل 2025 (2.5م).</t>
        </is>
      </c>
    </row>
    <row r="28">
      <c r="A28" s="5" t="inlineStr">
        <is>
          <t>1421903</t>
        </is>
      </c>
      <c r="B28" s="5" t="inlineStr">
        <is>
          <t>مبيعات التيار الكهربائي</t>
        </is>
      </c>
      <c r="C28" s="5" t="inlineStr">
        <is>
          <t>إيرادات إستثمارية</t>
        </is>
      </c>
      <c r="D28" s="6">
        <f>'توقع المحصل 2026'!E27</f>
        <v/>
      </c>
      <c r="E28" s="6">
        <f>'توقع المحصل 2026'!F27</f>
        <v/>
      </c>
      <c r="F28" s="6">
        <f>'توقع المحصل 2026'!G27</f>
        <v/>
      </c>
      <c r="G28" s="6">
        <f>'توقع المحصل 2026'!H27</f>
        <v/>
      </c>
      <c r="H28" s="15">
        <f>IF(F28=0,"",G28/F28)</f>
        <v/>
      </c>
      <c r="I28" s="6">
        <f>J28-G28</f>
        <v/>
      </c>
      <c r="J28" s="6">
        <f>'توقع المحصل 2026'!K27</f>
        <v/>
      </c>
      <c r="K28" s="6">
        <f>IF(J28=0,0,MAX(G28,MIN(J28,F28)))</f>
        <v/>
      </c>
      <c r="L28" s="6">
        <f>K28-J28</f>
        <v/>
      </c>
      <c r="M28" s="7">
        <f>J28/J$43</f>
        <v/>
      </c>
      <c r="N28" s="5" t="inlineStr">
        <is>
          <t>مرتفع</t>
        </is>
      </c>
      <c r="O28" s="16" t="inlineStr">
        <is>
          <t>تراجع حاد: المحصل حتى سبتمبر (0.3م) يعادل 19% فقط من 2025 (1.5م)؛ التوقع يستمر على هذا المستوى المنخفض.</t>
        </is>
      </c>
    </row>
    <row r="29">
      <c r="A29" s="5" t="inlineStr">
        <is>
          <t>1438</t>
        </is>
      </c>
      <c r="B29" s="5" t="inlineStr">
        <is>
          <t>جزاءات وغرامات مفروضة بموجب أنظمة الجهة</t>
        </is>
      </c>
      <c r="C29" s="5" t="inlineStr">
        <is>
          <t>جزاءات وغرامات</t>
        </is>
      </c>
      <c r="D29" s="6">
        <f>'توقع المحصل 2026'!E28</f>
        <v/>
      </c>
      <c r="E29" s="6">
        <f>'توقع المحصل 2026'!F28</f>
        <v/>
      </c>
      <c r="F29" s="6">
        <f>'توقع المحصل 2026'!G28</f>
        <v/>
      </c>
      <c r="G29" s="6">
        <f>'توقع المحصل 2026'!H28</f>
        <v/>
      </c>
      <c r="H29" s="15">
        <f>IF(F29=0,"",G29/F29)</f>
        <v/>
      </c>
      <c r="I29" s="6">
        <f>J29-G29</f>
        <v/>
      </c>
      <c r="J29" s="6">
        <f>'توقع المحصل 2026'!K28</f>
        <v/>
      </c>
      <c r="K29" s="6">
        <f>IF(J29=0,0,MAX(G29,MIN(J29,F29)))</f>
        <v/>
      </c>
      <c r="L29" s="6">
        <f>K29-J29</f>
        <v/>
      </c>
      <c r="M29" s="7">
        <f>J29/J$43</f>
        <v/>
      </c>
      <c r="N29" s="5" t="inlineStr">
        <is>
          <t>مرتفع</t>
        </is>
      </c>
      <c r="O29" s="16" t="inlineStr">
        <is>
          <t>تراجع حاد: المحصل حتى سبتمبر (0.1م) يعادل 17% فقط من 2025 (0.4م)؛ التوقع يستمر على هذا المستوى المنخفض.</t>
        </is>
      </c>
    </row>
    <row r="30">
      <c r="A30" s="5" t="inlineStr">
        <is>
          <t>1421912</t>
        </is>
      </c>
      <c r="B30" s="5" t="inlineStr">
        <is>
          <t>تأجير العقارات لأغراض مؤقته</t>
        </is>
      </c>
      <c r="C30" s="5" t="inlineStr">
        <is>
          <t>إيرادات إستثمارية</t>
        </is>
      </c>
      <c r="D30" s="6">
        <f>'توقع المحصل 2026'!E29</f>
        <v/>
      </c>
      <c r="E30" s="6">
        <f>'توقع المحصل 2026'!F29</f>
        <v/>
      </c>
      <c r="F30" s="6">
        <f>'توقع المحصل 2026'!G29</f>
        <v/>
      </c>
      <c r="G30" s="6">
        <f>'توقع المحصل 2026'!H29</f>
        <v/>
      </c>
      <c r="H30" s="15">
        <f>IF(F30=0,"",G30/F30)</f>
        <v/>
      </c>
      <c r="I30" s="6">
        <f>J30-G30</f>
        <v/>
      </c>
      <c r="J30" s="6">
        <f>'توقع المحصل 2026'!K29</f>
        <v/>
      </c>
      <c r="K30" s="6">
        <f>IF(J30=0,0,MAX(G30,MIN(J30,F30)))</f>
        <v/>
      </c>
      <c r="L30" s="6">
        <f>K30-J30</f>
        <v/>
      </c>
      <c r="M30" s="7">
        <f>J30/J$43</f>
        <v/>
      </c>
      <c r="N30" s="5" t="inlineStr">
        <is>
          <t>منخفض</t>
        </is>
      </c>
      <c r="O30" s="16" t="inlineStr">
        <is>
          <t>التوقع أدنى من 2025 بنسبة 26% لأن وتيرة التحصيل حتى سبتمبر أقل.</t>
        </is>
      </c>
    </row>
    <row r="31">
      <c r="A31" s="5" t="inlineStr">
        <is>
          <t>11452106</t>
        </is>
      </c>
      <c r="B31" s="5" t="inlineStr">
        <is>
          <t>اصدار التراخيص بتأسيس أو تشغيل ابراج الاتصالات</t>
        </is>
      </c>
      <c r="C31" s="5" t="inlineStr">
        <is>
          <t>الرسوم والتراخيص</t>
        </is>
      </c>
      <c r="D31" s="6">
        <f>'توقع المحصل 2026'!E30</f>
        <v/>
      </c>
      <c r="E31" s="6">
        <f>'توقع المحصل 2026'!F30</f>
        <v/>
      </c>
      <c r="F31" s="6">
        <f>'توقع المحصل 2026'!G30</f>
        <v/>
      </c>
      <c r="G31" s="6">
        <f>'توقع المحصل 2026'!H30</f>
        <v/>
      </c>
      <c r="H31" s="15">
        <f>IF(F31=0,"",G31/F31)</f>
        <v/>
      </c>
      <c r="I31" s="6">
        <f>J31-G31</f>
        <v/>
      </c>
      <c r="J31" s="6">
        <f>'توقع المحصل 2026'!K30</f>
        <v/>
      </c>
      <c r="K31" s="6">
        <f>IF(J31=0,0,MAX(G31,MIN(J31,F31)))</f>
        <v/>
      </c>
      <c r="L31" s="6">
        <f>K31-J31</f>
        <v/>
      </c>
      <c r="M31" s="7">
        <f>J31/J$43</f>
        <v/>
      </c>
      <c r="N31" s="5" t="inlineStr">
        <is>
          <t>مرتفع</t>
        </is>
      </c>
      <c r="O31" s="16" t="inlineStr">
        <is>
          <t>تراجع حاد: المحصل حتى سبتمبر (0.3م) يعادل 27% فقط من 2025 (1.3م)؛ التوقع يستمر على هذا المستوى المنخفض.</t>
        </is>
      </c>
    </row>
    <row r="32">
      <c r="A32" s="5" t="inlineStr">
        <is>
          <t>11452110</t>
        </is>
      </c>
      <c r="B32" s="5" t="inlineStr">
        <is>
          <t>إصدار تراخيص إستخدام أملاك خاصة لإقامة فعاليات</t>
        </is>
      </c>
      <c r="C32" s="5" t="inlineStr">
        <is>
          <t>الرسوم والتراخيص</t>
        </is>
      </c>
      <c r="D32" s="6">
        <f>'توقع المحصل 2026'!E31</f>
        <v/>
      </c>
      <c r="E32" s="6">
        <f>'توقع المحصل 2026'!F31</f>
        <v/>
      </c>
      <c r="F32" s="6">
        <f>'توقع المحصل 2026'!G31</f>
        <v/>
      </c>
      <c r="G32" s="6">
        <f>'توقع المحصل 2026'!H31</f>
        <v/>
      </c>
      <c r="H32" s="15">
        <f>IF(F32=0,"",G32/F32)</f>
        <v/>
      </c>
      <c r="I32" s="6">
        <f>J32-G32</f>
        <v/>
      </c>
      <c r="J32" s="6">
        <f>'توقع المحصل 2026'!K31</f>
        <v/>
      </c>
      <c r="K32" s="6">
        <f>IF(J32=0,0,MAX(G32,MIN(J32,F32)))</f>
        <v/>
      </c>
      <c r="L32" s="6">
        <f>K32-J32</f>
        <v/>
      </c>
      <c r="M32" s="7">
        <f>J32/J$43</f>
        <v/>
      </c>
      <c r="N32" s="5" t="inlineStr">
        <is>
          <t>منخفض</t>
        </is>
      </c>
      <c r="O32" s="16" t="inlineStr">
        <is>
          <t>مستقر: التوقع (0.8م) قريب من محصل 2025 (0.8م).</t>
        </is>
      </c>
    </row>
    <row r="33">
      <c r="A33" s="5" t="inlineStr">
        <is>
          <t>141229</t>
        </is>
      </c>
      <c r="B33" s="5" t="inlineStr">
        <is>
          <t>أرباح أخرى</t>
        </is>
      </c>
      <c r="C33" s="5" t="inlineStr">
        <is>
          <t>إيرادات إستثمارية</t>
        </is>
      </c>
      <c r="D33" s="6">
        <f>'توقع المحصل 2026'!E32</f>
        <v/>
      </c>
      <c r="E33" s="6">
        <f>'توقع المحصل 2026'!F32</f>
        <v/>
      </c>
      <c r="F33" s="6">
        <f>'توقع المحصل 2026'!G32</f>
        <v/>
      </c>
      <c r="G33" s="6">
        <f>'توقع المحصل 2026'!H32</f>
        <v/>
      </c>
      <c r="H33" s="15">
        <f>IF(F33=0,"",G33/F33)</f>
        <v/>
      </c>
      <c r="I33" s="6">
        <f>J33-G33</f>
        <v/>
      </c>
      <c r="J33" s="6">
        <f>'توقع المحصل 2026'!K32</f>
        <v/>
      </c>
      <c r="K33" s="6">
        <f>IF(J33=0,0,MAX(G33,MIN(J33,F33)))</f>
        <v/>
      </c>
      <c r="L33" s="6">
        <f>K33-J33</f>
        <v/>
      </c>
      <c r="M33" s="7">
        <f>J33/J$43</f>
        <v/>
      </c>
      <c r="N33" s="5" t="inlineStr">
        <is>
          <t>مرتفع</t>
        </is>
      </c>
      <c r="O33" s="16" t="inlineStr">
        <is>
          <t>قفزة: المحصل حتى سبتمبر (0.1م) يعادل 200% من كل 2025 (0.0م)، والتوقع يفترض أن القفزة تستمر في الربع الأخير. احتمال المبالغة مرتفع.</t>
        </is>
      </c>
    </row>
    <row r="34">
      <c r="A34" s="5" t="inlineStr">
        <is>
          <t>11452109</t>
        </is>
      </c>
      <c r="B34" s="5" t="inlineStr">
        <is>
          <t>اعتماد مخططات التطوير العقاري</t>
        </is>
      </c>
      <c r="C34" s="5" t="inlineStr">
        <is>
          <t>الرسوم والتراخيص</t>
        </is>
      </c>
      <c r="D34" s="6">
        <f>'توقع المحصل 2026'!E33</f>
        <v/>
      </c>
      <c r="E34" s="6">
        <f>'توقع المحصل 2026'!F33</f>
        <v/>
      </c>
      <c r="F34" s="6">
        <f>'توقع المحصل 2026'!G33</f>
        <v/>
      </c>
      <c r="G34" s="6">
        <f>'توقع المحصل 2026'!H33</f>
        <v/>
      </c>
      <c r="H34" s="15">
        <f>IF(F34=0,"",G34/F34)</f>
        <v/>
      </c>
      <c r="I34" s="6">
        <f>J34-G34</f>
        <v/>
      </c>
      <c r="J34" s="6">
        <f>'توقع المحصل 2026'!K33</f>
        <v/>
      </c>
      <c r="K34" s="6">
        <f>IF(J34=0,0,MAX(G34,MIN(J34,F34)))</f>
        <v/>
      </c>
      <c r="L34" s="6">
        <f>K34-J34</f>
        <v/>
      </c>
      <c r="M34" s="7">
        <f>J34/J$43</f>
        <v/>
      </c>
      <c r="N34" s="5" t="inlineStr">
        <is>
          <t>مرتفع</t>
        </is>
      </c>
      <c r="O34" s="16" t="inlineStr">
        <is>
          <t>تراجع حاد: المحصل حتى سبتمبر (0.0م) يعادل 0% فقط من 2025 (0.6م)؛ التوقع يستمر على هذا المستوى المنخفض.</t>
        </is>
      </c>
    </row>
    <row r="35">
      <c r="A35" s="5" t="inlineStr">
        <is>
          <t>11452107</t>
        </is>
      </c>
      <c r="B35" s="5" t="inlineStr">
        <is>
          <t>اصدار التراخيص بتأسيس أو تشغيل الصراف الآلي</t>
        </is>
      </c>
      <c r="C35" s="5" t="inlineStr">
        <is>
          <t>الرسوم والتراخيص</t>
        </is>
      </c>
      <c r="D35" s="6">
        <f>'توقع المحصل 2026'!E34</f>
        <v/>
      </c>
      <c r="E35" s="6">
        <f>'توقع المحصل 2026'!F34</f>
        <v/>
      </c>
      <c r="F35" s="6">
        <f>'توقع المحصل 2026'!G34</f>
        <v/>
      </c>
      <c r="G35" s="6">
        <f>'توقع المحصل 2026'!H34</f>
        <v/>
      </c>
      <c r="H35" s="15">
        <f>IF(F35=0,"",G35/F35)</f>
        <v/>
      </c>
      <c r="I35" s="6">
        <f>J35-G35</f>
        <v/>
      </c>
      <c r="J35" s="6">
        <f>'توقع المحصل 2026'!K34</f>
        <v/>
      </c>
      <c r="K35" s="6">
        <f>IF(J35=0,0,MAX(G35,MIN(J35,F35)))</f>
        <v/>
      </c>
      <c r="L35" s="6">
        <f>K35-J35</f>
        <v/>
      </c>
      <c r="M35" s="7">
        <f>J35/J$43</f>
        <v/>
      </c>
      <c r="N35" s="5" t="inlineStr">
        <is>
          <t>منخفض</t>
        </is>
      </c>
      <c r="O35" s="16" t="inlineStr">
        <is>
          <t>مستقر: التوقع (0.2م) قريب من محصل 2025 (0.2م).</t>
        </is>
      </c>
    </row>
    <row r="36">
      <c r="A36" s="5" t="inlineStr">
        <is>
          <t>3318212</t>
        </is>
      </c>
      <c r="B36" s="5" t="inlineStr">
        <is>
          <t>مرتجع رواتب - فواتير</t>
        </is>
      </c>
      <c r="C36" s="5" t="inlineStr">
        <is>
          <t>أخرى</t>
        </is>
      </c>
      <c r="D36" s="6">
        <f>'توقع المحصل 2026'!E35</f>
        <v/>
      </c>
      <c r="E36" s="6">
        <f>'توقع المحصل 2026'!F35</f>
        <v/>
      </c>
      <c r="F36" s="6">
        <f>'توقع المحصل 2026'!G35</f>
        <v/>
      </c>
      <c r="G36" s="6">
        <f>'توقع المحصل 2026'!H35</f>
        <v/>
      </c>
      <c r="H36" s="15">
        <f>IF(F36=0,"",G36/F36)</f>
        <v/>
      </c>
      <c r="I36" s="6">
        <f>J36-G36</f>
        <v/>
      </c>
      <c r="J36" s="6">
        <f>'توقع المحصل 2026'!K35</f>
        <v/>
      </c>
      <c r="K36" s="6">
        <f>IF(J36=0,0,MAX(G36,MIN(J36,F36)))</f>
        <v/>
      </c>
      <c r="L36" s="6">
        <f>K36-J36</f>
        <v/>
      </c>
      <c r="M36" s="7">
        <f>J36/J$43</f>
        <v/>
      </c>
      <c r="N36" s="5" t="inlineStr">
        <is>
          <t>مرتفع</t>
        </is>
      </c>
      <c r="O36" s="16" t="inlineStr">
        <is>
          <t>قفزة: المحصل حتى سبتمبر (0.2م) يعادل 142% من كل 2025 (0.2م)، والتوقع يفترض أن القفزة تستمر في الربع الأخير. احتمال المبالغة مرتفع.</t>
        </is>
      </c>
    </row>
    <row r="37">
      <c r="A37" s="5" t="inlineStr">
        <is>
          <t>11422</t>
        </is>
      </c>
      <c r="B37" s="5" t="inlineStr">
        <is>
          <t>رسوم منتجات التبغ</t>
        </is>
      </c>
      <c r="C37" s="5" t="inlineStr">
        <is>
          <t>التبغ والإيواء</t>
        </is>
      </c>
      <c r="D37" s="6">
        <f>'توقع المحصل 2026'!E36</f>
        <v/>
      </c>
      <c r="E37" s="6">
        <f>'توقع المحصل 2026'!F36</f>
        <v/>
      </c>
      <c r="F37" s="6">
        <f>'توقع المحصل 2026'!G36</f>
        <v/>
      </c>
      <c r="G37" s="6">
        <f>'توقع المحصل 2026'!H36</f>
        <v/>
      </c>
      <c r="H37" s="15">
        <f>IF(F37=0,"",G37/F37)</f>
        <v/>
      </c>
      <c r="I37" s="6">
        <f>J37-G37</f>
        <v/>
      </c>
      <c r="J37" s="6">
        <f>'توقع المحصل 2026'!K36</f>
        <v/>
      </c>
      <c r="K37" s="6">
        <f>IF(J37=0,0,MAX(G37,MIN(J37,F37)))</f>
        <v/>
      </c>
      <c r="L37" s="6">
        <f>K37-J37</f>
        <v/>
      </c>
      <c r="M37" s="7">
        <f>J37/J$43</f>
        <v/>
      </c>
      <c r="N37" s="5" t="inlineStr">
        <is>
          <t>منخفض</t>
        </is>
      </c>
      <c r="O37" s="16" t="inlineStr">
        <is>
          <t>متوقف: لا فوترة ولا تحصيل في 2026، فتوقعه صفر.</t>
        </is>
      </c>
    </row>
    <row r="38">
      <c r="A38" s="5" t="inlineStr">
        <is>
          <t>1422103</t>
        </is>
      </c>
      <c r="B38" s="5" t="inlineStr">
        <is>
          <t>تراخيص المحلات</t>
        </is>
      </c>
      <c r="C38" s="5" t="inlineStr">
        <is>
          <t>إيرادات إستثمارية</t>
        </is>
      </c>
      <c r="D38" s="6">
        <f>'توقع المحصل 2026'!E37</f>
        <v/>
      </c>
      <c r="E38" s="6">
        <f>'توقع المحصل 2026'!F37</f>
        <v/>
      </c>
      <c r="F38" s="6">
        <f>'توقع المحصل 2026'!G37</f>
        <v/>
      </c>
      <c r="G38" s="6">
        <f>'توقع المحصل 2026'!H37</f>
        <v/>
      </c>
      <c r="H38" s="15">
        <f>IF(F38=0,"",G38/F38)</f>
        <v/>
      </c>
      <c r="I38" s="6">
        <f>J38-G38</f>
        <v/>
      </c>
      <c r="J38" s="6">
        <f>'توقع المحصل 2026'!K37</f>
        <v/>
      </c>
      <c r="K38" s="6">
        <f>IF(J38=0,0,MAX(G38,MIN(J38,F38)))</f>
        <v/>
      </c>
      <c r="L38" s="6">
        <f>K38-J38</f>
        <v/>
      </c>
      <c r="M38" s="7">
        <f>J38/J$43</f>
        <v/>
      </c>
      <c r="N38" s="5" t="inlineStr">
        <is>
          <t>مرتفع</t>
        </is>
      </c>
      <c r="O38" s="16" t="inlineStr">
        <is>
          <t>تراجع حاد: المحصل حتى سبتمبر (0.0م) يعادل 27% فقط من 2025 (0.0م)؛ التوقع يستمر على هذا المستوى المنخفض.</t>
        </is>
      </c>
    </row>
    <row r="39">
      <c r="A39" s="5" t="inlineStr">
        <is>
          <t>11452513</t>
        </is>
      </c>
      <c r="B39" s="5" t="inlineStr">
        <is>
          <t>لوحات إرشـادية</t>
        </is>
      </c>
      <c r="C39" s="5" t="inlineStr">
        <is>
          <t>الرسوم والتراخيص</t>
        </is>
      </c>
      <c r="D39" s="6">
        <f>'توقع المحصل 2026'!E38</f>
        <v/>
      </c>
      <c r="E39" s="6">
        <f>'توقع المحصل 2026'!F38</f>
        <v/>
      </c>
      <c r="F39" s="6">
        <f>'توقع المحصل 2026'!G38</f>
        <v/>
      </c>
      <c r="G39" s="6">
        <f>'توقع المحصل 2026'!H38</f>
        <v/>
      </c>
      <c r="H39" s="15">
        <f>IF(F39=0,"",G39/F39)</f>
        <v/>
      </c>
      <c r="I39" s="6">
        <f>J39-G39</f>
        <v/>
      </c>
      <c r="J39" s="6">
        <f>'توقع المحصل 2026'!K38</f>
        <v/>
      </c>
      <c r="K39" s="6">
        <f>IF(J39=0,0,MAX(G39,MIN(J39,F39)))</f>
        <v/>
      </c>
      <c r="L39" s="6">
        <f>K39-J39</f>
        <v/>
      </c>
      <c r="M39" s="7">
        <f>J39/J$43</f>
        <v/>
      </c>
      <c r="N39" s="5" t="inlineStr">
        <is>
          <t>مرتفع</t>
        </is>
      </c>
      <c r="O39" s="16" t="inlineStr">
        <is>
          <t>تراجع حاد: المحصل حتى سبتمبر (0.0م) يعادل 7% فقط من 2025 (0.0م)؛ التوقع يستمر على هذا المستوى المنخفض.</t>
        </is>
      </c>
    </row>
    <row r="40">
      <c r="A40" s="5" t="inlineStr">
        <is>
          <t>1421907</t>
        </is>
      </c>
      <c r="B40" s="5" t="inlineStr">
        <is>
          <t>إيرادات المخططات</t>
        </is>
      </c>
      <c r="C40" s="5" t="inlineStr">
        <is>
          <t>الرسوم والتراخيص</t>
        </is>
      </c>
      <c r="D40" s="6">
        <f>'توقع المحصل 2026'!E39</f>
        <v/>
      </c>
      <c r="E40" s="6">
        <f>'توقع المحصل 2026'!F39</f>
        <v/>
      </c>
      <c r="F40" s="6">
        <f>'توقع المحصل 2026'!G39</f>
        <v/>
      </c>
      <c r="G40" s="6">
        <f>'توقع المحصل 2026'!H39</f>
        <v/>
      </c>
      <c r="H40" s="15">
        <f>IF(F40=0,"",G40/F40)</f>
        <v/>
      </c>
      <c r="I40" s="6">
        <f>J40-G40</f>
        <v/>
      </c>
      <c r="J40" s="6">
        <f>'توقع المحصل 2026'!K39</f>
        <v/>
      </c>
      <c r="K40" s="6">
        <f>IF(J40=0,0,MAX(G40,MIN(J40,F40)))</f>
        <v/>
      </c>
      <c r="L40" s="6">
        <f>K40-J40</f>
        <v/>
      </c>
      <c r="M40" s="7">
        <f>J40/J$43</f>
        <v/>
      </c>
      <c r="N40" s="5" t="inlineStr">
        <is>
          <t>مرتفع</t>
        </is>
      </c>
      <c r="O40" s="16" t="inlineStr">
        <is>
          <t>تراجع حاد: المحصل حتى سبتمبر (0.0م) يعادل 27% فقط من 2025 (0.0م)؛ التوقع يستمر على هذا المستوى المنخفض.</t>
        </is>
      </c>
    </row>
    <row r="41">
      <c r="A41" s="5" t="inlineStr">
        <is>
          <t>1421908</t>
        </is>
      </c>
      <c r="B41" s="5" t="inlineStr">
        <is>
          <t>ايرادات  رسوم خدمات  بلدية</t>
        </is>
      </c>
      <c r="C41" s="5" t="inlineStr">
        <is>
          <t>إيرادات إستثمارية</t>
        </is>
      </c>
      <c r="D41" s="6">
        <f>'توقع المحصل 2026'!E40</f>
        <v/>
      </c>
      <c r="E41" s="6">
        <f>'توقع المحصل 2026'!F40</f>
        <v/>
      </c>
      <c r="F41" s="6">
        <f>'توقع المحصل 2026'!G40</f>
        <v/>
      </c>
      <c r="G41" s="6">
        <f>'توقع المحصل 2026'!H40</f>
        <v/>
      </c>
      <c r="H41" s="15">
        <f>IF(F41=0,"",G41/F41)</f>
        <v/>
      </c>
      <c r="I41" s="6">
        <f>J41-G41</f>
        <v/>
      </c>
      <c r="J41" s="6">
        <f>'توقع المحصل 2026'!K40</f>
        <v/>
      </c>
      <c r="K41" s="6">
        <f>IF(J41=0,0,MAX(G41,MIN(J41,F41)))</f>
        <v/>
      </c>
      <c r="L41" s="6">
        <f>K41-J41</f>
        <v/>
      </c>
      <c r="M41" s="7">
        <f>J41/J$43</f>
        <v/>
      </c>
      <c r="N41" s="5" t="inlineStr">
        <is>
          <t>منخفض</t>
        </is>
      </c>
      <c r="O41" s="16" t="inlineStr">
        <is>
          <t>متوقف: لا فوترة ولا تحصيل في 2026، فتوقعه صفر.</t>
        </is>
      </c>
    </row>
    <row r="42">
      <c r="A42" s="5" t="inlineStr">
        <is>
          <t>142161</t>
        </is>
      </c>
      <c r="B42" s="5" t="inlineStr">
        <is>
          <t>تاجير مباني سكنية</t>
        </is>
      </c>
      <c r="C42" s="5" t="inlineStr">
        <is>
          <t>إيرادات إستثمارية</t>
        </is>
      </c>
      <c r="D42" s="6">
        <f>'توقع المحصل 2026'!E41</f>
        <v/>
      </c>
      <c r="E42" s="6">
        <f>'توقع المحصل 2026'!F41</f>
        <v/>
      </c>
      <c r="F42" s="6">
        <f>'توقع المحصل 2026'!G41</f>
        <v/>
      </c>
      <c r="G42" s="6">
        <f>'توقع المحصل 2026'!H41</f>
        <v/>
      </c>
      <c r="H42" s="15">
        <f>IF(F42=0,"",G42/F42)</f>
        <v/>
      </c>
      <c r="I42" s="6">
        <f>J42-G42</f>
        <v/>
      </c>
      <c r="J42" s="6">
        <f>'توقع المحصل 2026'!K41</f>
        <v/>
      </c>
      <c r="K42" s="6">
        <f>IF(J42=0,0,MAX(G42,MIN(J42,F42)))</f>
        <v/>
      </c>
      <c r="L42" s="6">
        <f>K42-J42</f>
        <v/>
      </c>
      <c r="M42" s="7">
        <f>J42/J$43</f>
        <v/>
      </c>
      <c r="N42" s="5" t="inlineStr">
        <is>
          <t>منخفض</t>
        </is>
      </c>
      <c r="O42" s="16" t="inlineStr">
        <is>
          <t>متوقف: لا فوترة ولا تحصيل في 2026، فتوقعه صفر.</t>
        </is>
      </c>
    </row>
    <row r="43">
      <c r="A43" s="8" t="n"/>
      <c r="B43" s="8" t="inlineStr">
        <is>
          <t>الإجمالي</t>
        </is>
      </c>
      <c r="C43" s="8" t="n"/>
      <c r="D43" s="9">
        <f>SUM(D5:D42)</f>
        <v/>
      </c>
      <c r="E43" s="9">
        <f>SUM(E5:E42)</f>
        <v/>
      </c>
      <c r="F43" s="9">
        <f>SUM(F5:F42)</f>
        <v/>
      </c>
      <c r="G43" s="9">
        <f>SUM(G5:G42)</f>
        <v/>
      </c>
      <c r="H43" s="17">
        <f>G43/F43</f>
        <v/>
      </c>
      <c r="I43" s="9">
        <f>SUM(I5:I42)</f>
        <v/>
      </c>
      <c r="J43" s="9">
        <f>SUM(J5:J42)</f>
        <v/>
      </c>
      <c r="K43" s="9">
        <f>SUM(K5:K42)</f>
        <v/>
      </c>
      <c r="L43" s="9">
        <f>SUM(L5:L42)</f>
        <v/>
      </c>
      <c r="M43" s="10">
        <f>SUM(M5:M42)</f>
        <v/>
      </c>
      <c r="N43" s="8" t="n"/>
      <c r="O43" s="18" t="n"/>
    </row>
  </sheetData>
  <autoFilter ref="A4:O42"/>
  <mergeCells count="1">
    <mergeCell ref="A2:N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4"/>
  <sheetViews>
    <sheetView rightToLeft="1"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2" customWidth="1" min="17" max="17"/>
  </cols>
  <sheetData>
    <row r="1">
      <c r="A1" s="1" t="inlineStr">
        <is>
          <t>توقع إقفال 2026 (محصّل) بالموسمية الشهرية — بدون الضريبة</t>
        </is>
      </c>
    </row>
    <row r="2" ht="58" customHeight="1">
      <c r="A2" s="12" t="inlineStr">
        <is>
          <t>الطريقة: توقع الربع الأخير (أكتوبر–ديسمبر) = وسيط تحصيل الربع الأخير في 2023–2025 × معامل الاتجاه، ومعامل الاتجاه = المحصل يناير–سبتمبر 2026 ÷ وسيط يناير–سبتمبر للسنوات الثلاث، بين حدّين في ورقة الافتراضات. الإقفال = المحصل يناير–سبتمبر + توقع الربع الأخير. السيناريو الأسوأ: الربع الأخير = أدنى ربع أخير في السنوات الثلاث × (معامل الاتجاه بحد أقصى 1). في الحالتين لا يقل الربع الأخير عن المحصل الفعلي من أكتوبر حتى تاريخ الملف. الوسيط يخفف أثر الشهور الاستثنائية.</t>
        </is>
      </c>
    </row>
    <row r="3">
      <c r="A3" s="2" t="inlineStr">
        <is>
          <t>الملخص:</t>
        </is>
      </c>
      <c r="C3" s="13" t="inlineStr">
        <is>
          <t>إقفال 2026 – أساسي</t>
        </is>
      </c>
      <c r="D3" s="14">
        <f>M44</f>
        <v/>
      </c>
      <c r="E3" s="13" t="inlineStr">
        <is>
          <t>إقفال 2026 – أسوأ</t>
        </is>
      </c>
      <c r="F3" s="14">
        <f>N44</f>
        <v/>
      </c>
      <c r="G3" s="13" t="inlineStr">
        <is>
          <t>الحد الأدنى (يناير–سبتمبر + أكتوبر حتى تاريخه)</t>
        </is>
      </c>
      <c r="H3" s="14">
        <f>E44+F44</f>
        <v/>
      </c>
      <c r="I3" s="13" t="inlineStr">
        <is>
          <t>محصل 2025</t>
        </is>
      </c>
      <c r="J3" s="14">
        <f>D44</f>
        <v/>
      </c>
    </row>
    <row r="5" ht="42" customHeight="1">
      <c r="A5" s="4" t="inlineStr">
        <is>
          <t>رقم الحساب</t>
        </is>
      </c>
      <c r="B5" s="4" t="inlineStr">
        <is>
          <t>اسم الحساب</t>
        </is>
      </c>
      <c r="C5" s="4" t="inlineStr">
        <is>
          <t>التبويب</t>
        </is>
      </c>
      <c r="D5" s="4" t="inlineStr">
        <is>
          <t>2025 محصّل (سنة كاملة)</t>
        </is>
      </c>
      <c r="E5" s="4" t="inlineStr">
        <is>
          <t>2026 محصّل يناير–سبتمبر</t>
        </is>
      </c>
      <c r="F5" s="4" t="inlineStr">
        <is>
          <t>2026 محصّل أكتوبر حتى تاريخه</t>
        </is>
      </c>
      <c r="G5" s="4" t="inlineStr">
        <is>
          <t>وسيط يناير–سبتمبر 2023–2025</t>
        </is>
      </c>
      <c r="H5" s="4" t="inlineStr">
        <is>
          <t>وسيط الربع الأخير 2023–2025</t>
        </is>
      </c>
      <c r="I5" s="4" t="inlineStr">
        <is>
          <t>أدنى ربع أخير 2023–2025</t>
        </is>
      </c>
      <c r="J5" s="4" t="inlineStr">
        <is>
          <t>معامل الاتجاه</t>
        </is>
      </c>
      <c r="K5" s="4" t="inlineStr">
        <is>
          <t>الربع الأخير – أساسي</t>
        </is>
      </c>
      <c r="L5" s="4" t="inlineStr">
        <is>
          <t>الربع الأخير – أسوأ</t>
        </is>
      </c>
      <c r="M5" s="4" t="inlineStr">
        <is>
          <t>إقفال 2026 – أساسي</t>
        </is>
      </c>
      <c r="N5" s="4" t="inlineStr">
        <is>
          <t>إقفال 2026 – أسوأ</t>
        </is>
      </c>
      <c r="O5" s="4" t="inlineStr">
        <is>
          <t>الطريقة البسيطة (×12÷9)</t>
        </is>
      </c>
      <c r="P5" s="4" t="inlineStr">
        <is>
          <t>الفرق: أساسي − بسيط</t>
        </is>
      </c>
      <c r="Q5" s="4" t="inlineStr">
        <is>
          <t>نمو الأساسي عن 2025</t>
        </is>
      </c>
    </row>
    <row r="6">
      <c r="A6" s="5" t="inlineStr">
        <is>
          <t>14155</t>
        </is>
      </c>
      <c r="B6" s="5" t="inlineStr">
        <is>
          <t>ريع الأراضي (تأجير الأراض )</t>
        </is>
      </c>
      <c r="C6" s="5" t="inlineStr">
        <is>
          <t>إيرادات إستثمارية</t>
        </is>
      </c>
      <c r="D6" s="6" t="n">
        <v>649331791.52</v>
      </c>
      <c r="E6" s="6" t="n">
        <v>611923098.9299999</v>
      </c>
      <c r="F6" s="6" t="n">
        <v>966021.95</v>
      </c>
      <c r="G6" s="6" t="n">
        <v>469288809.82</v>
      </c>
      <c r="H6" s="6" t="n">
        <v>228907448.88</v>
      </c>
      <c r="I6" s="6" t="n">
        <v>204333140.13</v>
      </c>
      <c r="J6" s="15">
        <f>IF(G6&gt;0,MIN(الافتراضات!$B$8,MAX(الافتراضات!$B$7,E6/G6)),IF(E6&gt;0,1,0))</f>
        <v/>
      </c>
      <c r="K6" s="6">
        <f>IF(AND(E6=0,F6=0),0,MAX(F6,H6*J6))</f>
        <v/>
      </c>
      <c r="L6" s="6">
        <f>IF(AND(E6=0,F6=0),0,MAX(F6,I6*MIN(J6,1)))</f>
        <v/>
      </c>
      <c r="M6" s="6">
        <f>E6+K6</f>
        <v/>
      </c>
      <c r="N6" s="6">
        <f>E6+L6</f>
        <v/>
      </c>
      <c r="O6" s="6">
        <f>E6*12/9</f>
        <v/>
      </c>
      <c r="P6" s="6">
        <f>M6-O6</f>
        <v/>
      </c>
      <c r="Q6" s="7">
        <f>IF(D6=0,"",M6/D6-1)</f>
        <v/>
      </c>
    </row>
    <row r="7">
      <c r="A7" s="5" t="inlineStr">
        <is>
          <t>1438001</t>
        </is>
      </c>
      <c r="B7" s="5" t="inlineStr">
        <is>
          <t>جزاءات و غرامات مفروضة بموجب أنظمة الجهة</t>
        </is>
      </c>
      <c r="C7" s="5" t="inlineStr">
        <is>
          <t>جزاءات وغرامات</t>
        </is>
      </c>
      <c r="D7" s="6" t="n">
        <v>308012204.69</v>
      </c>
      <c r="E7" s="6" t="n">
        <v>370116478.79</v>
      </c>
      <c r="F7" s="6" t="n">
        <v>495850</v>
      </c>
      <c r="G7" s="6" t="n">
        <v>238450578.45</v>
      </c>
      <c r="H7" s="6" t="n">
        <v>85816586.84999999</v>
      </c>
      <c r="I7" s="6" t="n">
        <v>65135107.34</v>
      </c>
      <c r="J7" s="15">
        <f>IF(G7&gt;0,MIN(الافتراضات!$B$8,MAX(الافتراضات!$B$7,E7/G7)),IF(E7&gt;0,1,0))</f>
        <v/>
      </c>
      <c r="K7" s="6">
        <f>IF(AND(E7=0,F7=0),0,MAX(F7,H7*J7))</f>
        <v/>
      </c>
      <c r="L7" s="6">
        <f>IF(AND(E7=0,F7=0),0,MAX(F7,I7*MIN(J7,1)))</f>
        <v/>
      </c>
      <c r="M7" s="6">
        <f>E7+K7</f>
        <v/>
      </c>
      <c r="N7" s="6">
        <f>E7+L7</f>
        <v/>
      </c>
      <c r="O7" s="6">
        <f>E7*12/9</f>
        <v/>
      </c>
      <c r="P7" s="6">
        <f>M7-O7</f>
        <v/>
      </c>
      <c r="Q7" s="7">
        <f>IF(D7=0,"",M7/D7-1)</f>
        <v/>
      </c>
    </row>
    <row r="8">
      <c r="A8" s="5" t="inlineStr">
        <is>
          <t>142162</t>
        </is>
      </c>
      <c r="B8" s="5" t="inlineStr">
        <is>
          <t>إيرادات  تأجير المرافق</t>
        </is>
      </c>
      <c r="C8" s="5" t="inlineStr">
        <is>
          <t>إيرادات إستثمارية</t>
        </is>
      </c>
      <c r="D8" s="6" t="n">
        <v>938889683.7</v>
      </c>
      <c r="E8" s="6" t="n">
        <v>428454063.2</v>
      </c>
      <c r="F8" s="6" t="n">
        <v>5982.8</v>
      </c>
      <c r="G8" s="6" t="n">
        <v>29251064.25</v>
      </c>
      <c r="H8" s="6" t="n">
        <v>32592532.11</v>
      </c>
      <c r="I8" s="6" t="n">
        <v>322650</v>
      </c>
      <c r="J8" s="15">
        <f>IF(G8&gt;0,MIN(الافتراضات!$B$8,MAX(الافتراضات!$B$7,E8/G8)),IF(E8&gt;0,1,0))</f>
        <v/>
      </c>
      <c r="K8" s="6">
        <f>IF(AND(E8=0,F8=0),0,MAX(F8,H8*J8))</f>
        <v/>
      </c>
      <c r="L8" s="6">
        <f>IF(AND(E8=0,F8=0),0,MAX(F8,I8*MIN(J8,1)))</f>
        <v/>
      </c>
      <c r="M8" s="6">
        <f>E8+K8</f>
        <v/>
      </c>
      <c r="N8" s="6">
        <f>E8+L8</f>
        <v/>
      </c>
      <c r="O8" s="6">
        <f>E8*12/9</f>
        <v/>
      </c>
      <c r="P8" s="6">
        <f>M8-O8</f>
        <v/>
      </c>
      <c r="Q8" s="7">
        <f>IF(D8=0,"",M8/D8-1)</f>
        <v/>
      </c>
    </row>
    <row r="9">
      <c r="A9" s="5" t="inlineStr">
        <is>
          <t>11452104</t>
        </is>
      </c>
      <c r="B9" s="5" t="inlineStr">
        <is>
          <t>إصدار رخص الأنشطة التجارية</t>
        </is>
      </c>
      <c r="C9" s="5" t="inlineStr">
        <is>
          <t>الرسوم والتراخيص</t>
        </is>
      </c>
      <c r="D9" s="6" t="n">
        <v>267496278.85</v>
      </c>
      <c r="E9" s="6" t="n">
        <v>247515318.43</v>
      </c>
      <c r="F9" s="6" t="n">
        <v>2860329.04</v>
      </c>
      <c r="G9" s="6" t="n">
        <v>195619294.47</v>
      </c>
      <c r="H9" s="6" t="n">
        <v>70733180.56999999</v>
      </c>
      <c r="I9" s="6" t="n">
        <v>70219227.95</v>
      </c>
      <c r="J9" s="15">
        <f>IF(G9&gt;0,MIN(الافتراضات!$B$8,MAX(الافتراضات!$B$7,E9/G9)),IF(E9&gt;0,1,0))</f>
        <v/>
      </c>
      <c r="K9" s="6">
        <f>IF(AND(E9=0,F9=0),0,MAX(F9,H9*J9))</f>
        <v/>
      </c>
      <c r="L9" s="6">
        <f>IF(AND(E9=0,F9=0),0,MAX(F9,I9*MIN(J9,1)))</f>
        <v/>
      </c>
      <c r="M9" s="6">
        <f>E9+K9</f>
        <v/>
      </c>
      <c r="N9" s="6">
        <f>E9+L9</f>
        <v/>
      </c>
      <c r="O9" s="6">
        <f>E9*12/9</f>
        <v/>
      </c>
      <c r="P9" s="6">
        <f>M9-O9</f>
        <v/>
      </c>
      <c r="Q9" s="7">
        <f>IF(D9=0,"",M9/D9-1)</f>
        <v/>
      </c>
    </row>
    <row r="10">
      <c r="A10" s="5" t="inlineStr">
        <is>
          <t>11452103</t>
        </is>
      </c>
      <c r="B10" s="5" t="inlineStr">
        <is>
          <t>ايراد اصدار تراخيص المباني والاسوار - أمانة منطقة الرياض</t>
        </is>
      </c>
      <c r="C10" s="5" t="inlineStr">
        <is>
          <t>الرسوم والتراخيص</t>
        </is>
      </c>
      <c r="D10" s="6" t="n">
        <v>319675274.54</v>
      </c>
      <c r="E10" s="6" t="n">
        <v>203938354.66</v>
      </c>
      <c r="F10" s="6" t="n">
        <v>64468.55</v>
      </c>
      <c r="G10" s="6" t="n">
        <v>171624424.4</v>
      </c>
      <c r="H10" s="6" t="n">
        <v>72958068.90000001</v>
      </c>
      <c r="I10" s="6" t="n">
        <v>56149701.29</v>
      </c>
      <c r="J10" s="15">
        <f>IF(G10&gt;0,MIN(الافتراضات!$B$8,MAX(الافتراضات!$B$7,E10/G10)),IF(E10&gt;0,1,0))</f>
        <v/>
      </c>
      <c r="K10" s="6">
        <f>IF(AND(E10=0,F10=0),0,MAX(F10,H10*J10))</f>
        <v/>
      </c>
      <c r="L10" s="6">
        <f>IF(AND(E10=0,F10=0),0,MAX(F10,I10*MIN(J10,1)))</f>
        <v/>
      </c>
      <c r="M10" s="6">
        <f>E10+K10</f>
        <v/>
      </c>
      <c r="N10" s="6">
        <f>E10+L10</f>
        <v/>
      </c>
      <c r="O10" s="6">
        <f>E10*12/9</f>
        <v/>
      </c>
      <c r="P10" s="6">
        <f>M10-O10</f>
        <v/>
      </c>
      <c r="Q10" s="7">
        <f>IF(D10=0,"",M10/D10-1)</f>
        <v/>
      </c>
    </row>
    <row r="11">
      <c r="A11" s="5" t="inlineStr">
        <is>
          <t>11452512</t>
        </is>
      </c>
      <c r="B11" s="5" t="inlineStr">
        <is>
          <t>ايرادات لوحات المحلات</t>
        </is>
      </c>
      <c r="C11" s="5" t="inlineStr">
        <is>
          <t>الرسوم والتراخيص</t>
        </is>
      </c>
      <c r="D11" s="6" t="n">
        <v>193830778.44</v>
      </c>
      <c r="E11" s="6" t="n">
        <v>171961516.6</v>
      </c>
      <c r="F11" s="6" t="n">
        <v>2332984.9</v>
      </c>
      <c r="G11" s="6" t="n">
        <v>155986575</v>
      </c>
      <c r="H11" s="6" t="n">
        <v>59354580</v>
      </c>
      <c r="I11" s="6" t="n">
        <v>51365275.98</v>
      </c>
      <c r="J11" s="15">
        <f>IF(G11&gt;0,MIN(الافتراضات!$B$8,MAX(الافتراضات!$B$7,E11/G11)),IF(E11&gt;0,1,0))</f>
        <v/>
      </c>
      <c r="K11" s="6">
        <f>IF(AND(E11=0,F11=0),0,MAX(F11,H11*J11))</f>
        <v/>
      </c>
      <c r="L11" s="6">
        <f>IF(AND(E11=0,F11=0),0,MAX(F11,I11*MIN(J11,1)))</f>
        <v/>
      </c>
      <c r="M11" s="6">
        <f>E11+K11</f>
        <v/>
      </c>
      <c r="N11" s="6">
        <f>E11+L11</f>
        <v/>
      </c>
      <c r="O11" s="6">
        <f>E11*12/9</f>
        <v/>
      </c>
      <c r="P11" s="6">
        <f>M11-O11</f>
        <v/>
      </c>
      <c r="Q11" s="7">
        <f>IF(D11=0,"",M11/D11-1)</f>
        <v/>
      </c>
    </row>
    <row r="12">
      <c r="A12" s="5" t="inlineStr">
        <is>
          <t>11442</t>
        </is>
      </c>
      <c r="B12" s="5" t="inlineStr">
        <is>
          <t>اشغال مرافق الايواء</t>
        </is>
      </c>
      <c r="C12" s="5" t="inlineStr">
        <is>
          <t>التبغ والإيواء</t>
        </is>
      </c>
      <c r="D12" s="6" t="n">
        <v>199149669.75</v>
      </c>
      <c r="E12" s="6" t="n">
        <v>135824266.97</v>
      </c>
      <c r="F12" s="6" t="n">
        <v>815494.87</v>
      </c>
      <c r="G12" s="6" t="n">
        <v>152968341.46</v>
      </c>
      <c r="H12" s="6" t="n">
        <v>66937519.73</v>
      </c>
      <c r="I12" s="6" t="n">
        <v>57302452.03</v>
      </c>
      <c r="J12" s="15">
        <f>IF(G12&gt;0,MIN(الافتراضات!$B$8,MAX(الافتراضات!$B$7,E12/G12)),IF(E12&gt;0,1,0))</f>
        <v/>
      </c>
      <c r="K12" s="6">
        <f>IF(AND(E12=0,F12=0),0,MAX(F12,H12*J12))</f>
        <v/>
      </c>
      <c r="L12" s="6">
        <f>IF(AND(E12=0,F12=0),0,MAX(F12,I12*MIN(J12,1)))</f>
        <v/>
      </c>
      <c r="M12" s="6">
        <f>E12+K12</f>
        <v/>
      </c>
      <c r="N12" s="6">
        <f>E12+L12</f>
        <v/>
      </c>
      <c r="O12" s="6">
        <f>E12*12/9</f>
        <v/>
      </c>
      <c r="P12" s="6">
        <f>M12-O12</f>
        <v/>
      </c>
      <c r="Q12" s="7">
        <f>IF(D12=0,"",M12/D12-1)</f>
        <v/>
      </c>
    </row>
    <row r="13">
      <c r="A13" s="5" t="inlineStr">
        <is>
          <t>1421999</t>
        </is>
      </c>
      <c r="B13" s="5" t="inlineStr">
        <is>
          <t>مبيعات أخرى</t>
        </is>
      </c>
      <c r="C13" s="5" t="inlineStr">
        <is>
          <t>أخرى</t>
        </is>
      </c>
      <c r="D13" s="6" t="n">
        <v>60096373.96</v>
      </c>
      <c r="E13" s="6" t="n">
        <v>134076434.91</v>
      </c>
      <c r="F13" s="6" t="n">
        <v>0</v>
      </c>
      <c r="G13" s="6" t="n">
        <v>78879723.06</v>
      </c>
      <c r="H13" s="6" t="n">
        <v>19648593.93</v>
      </c>
      <c r="I13" s="6" t="n">
        <v>5322376.9</v>
      </c>
      <c r="J13" s="15">
        <f>IF(G13&gt;0,MIN(الافتراضات!$B$8,MAX(الافتراضات!$B$7,E13/G13)),IF(E13&gt;0,1,0))</f>
        <v/>
      </c>
      <c r="K13" s="6">
        <f>IF(AND(E13=0,F13=0),0,MAX(F13,H13*J13))</f>
        <v/>
      </c>
      <c r="L13" s="6">
        <f>IF(AND(E13=0,F13=0),0,MAX(F13,I13*MIN(J13,1)))</f>
        <v/>
      </c>
      <c r="M13" s="6">
        <f>E13+K13</f>
        <v/>
      </c>
      <c r="N13" s="6">
        <f>E13+L13</f>
        <v/>
      </c>
      <c r="O13" s="6">
        <f>E13*12/9</f>
        <v/>
      </c>
      <c r="P13" s="6">
        <f>M13-O13</f>
        <v/>
      </c>
      <c r="Q13" s="7">
        <f>IF(D13=0,"",M13/D13-1)</f>
        <v/>
      </c>
    </row>
    <row r="14">
      <c r="A14" s="5" t="inlineStr">
        <is>
          <t>142113</t>
        </is>
      </c>
      <c r="B14" s="5" t="inlineStr">
        <is>
          <t>ايرادات  اللوحات الدعائية</t>
        </is>
      </c>
      <c r="C14" s="5" t="inlineStr">
        <is>
          <t>الرسوم والتراخيص</t>
        </is>
      </c>
      <c r="D14" s="6" t="n">
        <v>103589976.04</v>
      </c>
      <c r="E14" s="6" t="n">
        <v>121704394.25</v>
      </c>
      <c r="F14" s="6" t="n">
        <v>327373.48</v>
      </c>
      <c r="G14" s="6" t="n">
        <v>122797356.41</v>
      </c>
      <c r="H14" s="6" t="n">
        <v>35149182.39</v>
      </c>
      <c r="I14" s="6" t="n">
        <v>18399321.15</v>
      </c>
      <c r="J14" s="15">
        <f>IF(G14&gt;0,MIN(الافتراضات!$B$8,MAX(الافتراضات!$B$7,E14/G14)),IF(E14&gt;0,1,0))</f>
        <v/>
      </c>
      <c r="K14" s="6">
        <f>IF(AND(E14=0,F14=0),0,MAX(F14,H14*J14))</f>
        <v/>
      </c>
      <c r="L14" s="6">
        <f>IF(AND(E14=0,F14=0),0,MAX(F14,I14*MIN(J14,1)))</f>
        <v/>
      </c>
      <c r="M14" s="6">
        <f>E14+K14</f>
        <v/>
      </c>
      <c r="N14" s="6">
        <f>E14+L14</f>
        <v/>
      </c>
      <c r="O14" s="6">
        <f>E14*12/9</f>
        <v/>
      </c>
      <c r="P14" s="6">
        <f>M14-O14</f>
        <v/>
      </c>
      <c r="Q14" s="7">
        <f>IF(D14=0,"",M14/D14-1)</f>
        <v/>
      </c>
    </row>
    <row r="15">
      <c r="A15" s="5" t="inlineStr">
        <is>
          <t>1421909</t>
        </is>
      </c>
      <c r="B15" s="5" t="inlineStr">
        <is>
          <t>جمع النفايات</t>
        </is>
      </c>
      <c r="C15" s="5" t="inlineStr">
        <is>
          <t>الرسوم والتراخيص</t>
        </is>
      </c>
      <c r="D15" s="6" t="n">
        <v>72842923.63</v>
      </c>
      <c r="E15" s="6" t="n">
        <v>71391993.31</v>
      </c>
      <c r="F15" s="6" t="n">
        <v>831524.83</v>
      </c>
      <c r="G15" s="6" t="n">
        <v>53175299.26</v>
      </c>
      <c r="H15" s="6" t="n">
        <v>20735771.87</v>
      </c>
      <c r="I15" s="6" t="n">
        <v>18851086.09</v>
      </c>
      <c r="J15" s="15">
        <f>IF(G15&gt;0,MIN(الافتراضات!$B$8,MAX(الافتراضات!$B$7,E15/G15)),IF(E15&gt;0,1,0))</f>
        <v/>
      </c>
      <c r="K15" s="6">
        <f>IF(AND(E15=0,F15=0),0,MAX(F15,H15*J15))</f>
        <v/>
      </c>
      <c r="L15" s="6">
        <f>IF(AND(E15=0,F15=0),0,MAX(F15,I15*MIN(J15,1)))</f>
        <v/>
      </c>
      <c r="M15" s="6">
        <f>E15+K15</f>
        <v/>
      </c>
      <c r="N15" s="6">
        <f>E15+L15</f>
        <v/>
      </c>
      <c r="O15" s="6">
        <f>E15*12/9</f>
        <v/>
      </c>
      <c r="P15" s="6">
        <f>M15-O15</f>
        <v/>
      </c>
      <c r="Q15" s="7">
        <f>IF(D15=0,"",M15/D15-1)</f>
        <v/>
      </c>
    </row>
    <row r="16">
      <c r="A16" s="5" t="inlineStr">
        <is>
          <t>1421911</t>
        </is>
      </c>
      <c r="B16" s="5" t="inlineStr">
        <is>
          <t>رسم مبيعات محلات تقديم منتجات التبغ</t>
        </is>
      </c>
      <c r="C16" s="5" t="inlineStr">
        <is>
          <t>التبغ والإيواء</t>
        </is>
      </c>
      <c r="D16" s="6" t="n">
        <v>67630101.28</v>
      </c>
      <c r="E16" s="6" t="n">
        <v>56321815.11</v>
      </c>
      <c r="F16" s="6" t="n">
        <v>349894.61</v>
      </c>
      <c r="G16" s="6" t="n">
        <v>52213518.92</v>
      </c>
      <c r="H16" s="6" t="n">
        <v>19979808.95</v>
      </c>
      <c r="I16" s="6" t="n">
        <v>15416582.36</v>
      </c>
      <c r="J16" s="15">
        <f>IF(G16&gt;0,MIN(الافتراضات!$B$8,MAX(الافتراضات!$B$7,E16/G16)),IF(E16&gt;0,1,0))</f>
        <v/>
      </c>
      <c r="K16" s="6">
        <f>IF(AND(E16=0,F16=0),0,MAX(F16,H16*J16))</f>
        <v/>
      </c>
      <c r="L16" s="6">
        <f>IF(AND(E16=0,F16=0),0,MAX(F16,I16*MIN(J16,1)))</f>
        <v/>
      </c>
      <c r="M16" s="6">
        <f>E16+K16</f>
        <v/>
      </c>
      <c r="N16" s="6">
        <f>E16+L16</f>
        <v/>
      </c>
      <c r="O16" s="6">
        <f>E16*12/9</f>
        <v/>
      </c>
      <c r="P16" s="6">
        <f>M16-O16</f>
        <v/>
      </c>
      <c r="Q16" s="7">
        <f>IF(D16=0,"",M16/D16-1)</f>
        <v/>
      </c>
    </row>
    <row r="17">
      <c r="A17" s="5" t="inlineStr">
        <is>
          <t>11452108</t>
        </is>
      </c>
      <c r="B17" s="5" t="inlineStr">
        <is>
          <t>ايراد اصدار القرارات المساحية - أمانة منطقة الرياض</t>
        </is>
      </c>
      <c r="C17" s="5" t="inlineStr">
        <is>
          <t>الرسوم والتراخيص</t>
        </is>
      </c>
      <c r="D17" s="6" t="n">
        <v>24531493.81</v>
      </c>
      <c r="E17" s="6" t="n">
        <v>30875269.78</v>
      </c>
      <c r="F17" s="6" t="n">
        <v>303578.42</v>
      </c>
      <c r="G17" s="6" t="n">
        <v>13801001.77</v>
      </c>
      <c r="H17" s="6" t="n">
        <v>5538696.05</v>
      </c>
      <c r="I17" s="6" t="n">
        <v>1955277.89</v>
      </c>
      <c r="J17" s="15">
        <f>IF(G17&gt;0,MIN(الافتراضات!$B$8,MAX(الافتراضات!$B$7,E17/G17)),IF(E17&gt;0,1,0))</f>
        <v/>
      </c>
      <c r="K17" s="6">
        <f>IF(AND(E17=0,F17=0),0,MAX(F17,H17*J17))</f>
        <v/>
      </c>
      <c r="L17" s="6">
        <f>IF(AND(E17=0,F17=0),0,MAX(F17,I17*MIN(J17,1)))</f>
        <v/>
      </c>
      <c r="M17" s="6">
        <f>E17+K17</f>
        <v/>
      </c>
      <c r="N17" s="6">
        <f>E17+L17</f>
        <v/>
      </c>
      <c r="O17" s="6">
        <f>E17*12/9</f>
        <v/>
      </c>
      <c r="P17" s="6">
        <f>M17-O17</f>
        <v/>
      </c>
      <c r="Q17" s="7">
        <f>IF(D17=0,"",M17/D17-1)</f>
        <v/>
      </c>
    </row>
    <row r="18">
      <c r="A18" s="5" t="inlineStr">
        <is>
          <t>1422108</t>
        </is>
      </c>
      <c r="B18" s="5" t="inlineStr">
        <is>
          <t>الشهادات الصحية</t>
        </is>
      </c>
      <c r="C18" s="5" t="inlineStr">
        <is>
          <t>الرسوم والتراخيص</t>
        </is>
      </c>
      <c r="D18" s="6" t="n">
        <v>26098550.07</v>
      </c>
      <c r="E18" s="6" t="n">
        <v>17590070.76</v>
      </c>
      <c r="F18" s="6" t="n">
        <v>11040</v>
      </c>
      <c r="G18" s="6" t="n">
        <v>14304003.57</v>
      </c>
      <c r="H18" s="6" t="n">
        <v>6463060.62</v>
      </c>
      <c r="I18" s="6" t="n">
        <v>3446940.2</v>
      </c>
      <c r="J18" s="15">
        <f>IF(G18&gt;0,MIN(الافتراضات!$B$8,MAX(الافتراضات!$B$7,E18/G18)),IF(E18&gt;0,1,0))</f>
        <v/>
      </c>
      <c r="K18" s="6">
        <f>IF(AND(E18=0,F18=0),0,MAX(F18,H18*J18))</f>
        <v/>
      </c>
      <c r="L18" s="6">
        <f>IF(AND(E18=0,F18=0),0,MAX(F18,I18*MIN(J18,1)))</f>
        <v/>
      </c>
      <c r="M18" s="6">
        <f>E18+K18</f>
        <v/>
      </c>
      <c r="N18" s="6">
        <f>E18+L18</f>
        <v/>
      </c>
      <c r="O18" s="6">
        <f>E18*12/9</f>
        <v/>
      </c>
      <c r="P18" s="6">
        <f>M18-O18</f>
        <v/>
      </c>
      <c r="Q18" s="7">
        <f>IF(D18=0,"",M18/D18-1)</f>
        <v/>
      </c>
    </row>
    <row r="19">
      <c r="A19" s="5" t="inlineStr">
        <is>
          <t>144122</t>
        </is>
      </c>
      <c r="B19" s="5" t="inlineStr">
        <is>
          <t>إيرادات  متنوعه</t>
        </is>
      </c>
      <c r="C19" s="5" t="inlineStr">
        <is>
          <t>أخرى</t>
        </is>
      </c>
      <c r="D19" s="6" t="n">
        <v>2477531.42</v>
      </c>
      <c r="E19" s="6" t="n">
        <v>20815252.14</v>
      </c>
      <c r="F19" s="6" t="n">
        <v>500</v>
      </c>
      <c r="G19" s="6" t="n">
        <v>6262033.26</v>
      </c>
      <c r="H19" s="6" t="n">
        <v>645234.08</v>
      </c>
      <c r="I19" s="6" t="n">
        <v>424550.96</v>
      </c>
      <c r="J19" s="15">
        <f>IF(G19&gt;0,MIN(الافتراضات!$B$8,MAX(الافتراضات!$B$7,E19/G19)),IF(E19&gt;0,1,0))</f>
        <v/>
      </c>
      <c r="K19" s="6">
        <f>IF(AND(E19=0,F19=0),0,MAX(F19,H19*J19))</f>
        <v/>
      </c>
      <c r="L19" s="6">
        <f>IF(AND(E19=0,F19=0),0,MAX(F19,I19*MIN(J19,1)))</f>
        <v/>
      </c>
      <c r="M19" s="6">
        <f>E19+K19</f>
        <v/>
      </c>
      <c r="N19" s="6">
        <f>E19+L19</f>
        <v/>
      </c>
      <c r="O19" s="6">
        <f>E19*12/9</f>
        <v/>
      </c>
      <c r="P19" s="6">
        <f>M19-O19</f>
        <v/>
      </c>
      <c r="Q19" s="7">
        <f>IF(D19=0,"",M19/D19-1)</f>
        <v/>
      </c>
    </row>
    <row r="20">
      <c r="A20" s="5" t="inlineStr">
        <is>
          <t>1422121</t>
        </is>
      </c>
      <c r="B20" s="5" t="inlineStr">
        <is>
          <t>رسم ترخيص نشاط تقديم منتجات التبغ</t>
        </is>
      </c>
      <c r="C20" s="5" t="inlineStr">
        <is>
          <t>التبغ والإيواء</t>
        </is>
      </c>
      <c r="D20" s="6" t="n">
        <v>15681460.95</v>
      </c>
      <c r="E20" s="6" t="n">
        <v>13771650.67</v>
      </c>
      <c r="F20" s="6" t="n">
        <v>125000</v>
      </c>
      <c r="G20" s="6" t="n">
        <v>12013210.95</v>
      </c>
      <c r="H20" s="6" t="n">
        <v>4845000</v>
      </c>
      <c r="I20" s="6" t="n">
        <v>3668250</v>
      </c>
      <c r="J20" s="15">
        <f>IF(G20&gt;0,MIN(الافتراضات!$B$8,MAX(الافتراضات!$B$7,E20/G20)),IF(E20&gt;0,1,0))</f>
        <v/>
      </c>
      <c r="K20" s="6">
        <f>IF(AND(E20=0,F20=0),0,MAX(F20,H20*J20))</f>
        <v/>
      </c>
      <c r="L20" s="6">
        <f>IF(AND(E20=0,F20=0),0,MAX(F20,I20*MIN(J20,1)))</f>
        <v/>
      </c>
      <c r="M20" s="6">
        <f>E20+K20</f>
        <v/>
      </c>
      <c r="N20" s="6">
        <f>E20+L20</f>
        <v/>
      </c>
      <c r="O20" s="6">
        <f>E20*12/9</f>
        <v/>
      </c>
      <c r="P20" s="6">
        <f>M20-O20</f>
        <v/>
      </c>
      <c r="Q20" s="7">
        <f>IF(D20=0,"",M20/D20-1)</f>
        <v/>
      </c>
    </row>
    <row r="21">
      <c r="A21" s="5" t="inlineStr">
        <is>
          <t>11452111</t>
        </is>
      </c>
      <c r="B21" s="5" t="inlineStr">
        <is>
          <t>المقابل المالي للسماح للأنشطة التجارية بالعمل (24) ساعة</t>
        </is>
      </c>
      <c r="C21" s="5" t="inlineStr">
        <is>
          <t>الرسوم والتراخيص</t>
        </is>
      </c>
      <c r="D21" s="6" t="n">
        <v>5751371.82</v>
      </c>
      <c r="E21" s="6" t="n">
        <v>11268803.9</v>
      </c>
      <c r="F21" s="6" t="n">
        <v>140954.87</v>
      </c>
      <c r="G21" s="6" t="n">
        <v>3875508.86</v>
      </c>
      <c r="H21" s="6" t="n">
        <v>1330182.55</v>
      </c>
      <c r="I21" s="6" t="n">
        <v>1291181.74</v>
      </c>
      <c r="J21" s="15">
        <f>IF(G21&gt;0,MIN(الافتراضات!$B$8,MAX(الافتراضات!$B$7,E21/G21)),IF(E21&gt;0,1,0))</f>
        <v/>
      </c>
      <c r="K21" s="6">
        <f>IF(AND(E21=0,F21=0),0,MAX(F21,H21*J21))</f>
        <v/>
      </c>
      <c r="L21" s="6">
        <f>IF(AND(E21=0,F21=0),0,MAX(F21,I21*MIN(J21,1)))</f>
        <v/>
      </c>
      <c r="M21" s="6">
        <f>E21+K21</f>
        <v/>
      </c>
      <c r="N21" s="6">
        <f>E21+L21</f>
        <v/>
      </c>
      <c r="O21" s="6">
        <f>E21*12/9</f>
        <v/>
      </c>
      <c r="P21" s="6">
        <f>M21-O21</f>
        <v/>
      </c>
      <c r="Q21" s="7">
        <f>IF(D21=0,"",M21/D21-1)</f>
        <v/>
      </c>
    </row>
    <row r="22">
      <c r="A22" s="5" t="inlineStr">
        <is>
          <t>142163</t>
        </is>
      </c>
      <c r="B22" s="5" t="inlineStr">
        <is>
          <t>إيرادات  تأجير مباني تجارية</t>
        </is>
      </c>
      <c r="C22" s="5" t="inlineStr">
        <is>
          <t>إيرادات إستثمارية</t>
        </is>
      </c>
      <c r="D22" s="6" t="n">
        <v>3001651.75</v>
      </c>
      <c r="E22" s="6" t="n">
        <v>10169478.26</v>
      </c>
      <c r="F22" s="6" t="n">
        <v>0</v>
      </c>
      <c r="G22" s="6" t="n">
        <v>3878992</v>
      </c>
      <c r="H22" s="6" t="n">
        <v>1555970</v>
      </c>
      <c r="I22" s="6" t="n">
        <v>1460514</v>
      </c>
      <c r="J22" s="15">
        <f>IF(G22&gt;0,MIN(الافتراضات!$B$8,MAX(الافتراضات!$B$7,E22/G22)),IF(E22&gt;0,1,0))</f>
        <v/>
      </c>
      <c r="K22" s="6">
        <f>IF(AND(E22=0,F22=0),0,MAX(F22,H22*J22))</f>
        <v/>
      </c>
      <c r="L22" s="6">
        <f>IF(AND(E22=0,F22=0),0,MAX(F22,I22*MIN(J22,1)))</f>
        <v/>
      </c>
      <c r="M22" s="6">
        <f>E22+K22</f>
        <v/>
      </c>
      <c r="N22" s="6">
        <f>E22+L22</f>
        <v/>
      </c>
      <c r="O22" s="6">
        <f>E22*12/9</f>
        <v/>
      </c>
      <c r="P22" s="6">
        <f>M22-O22</f>
        <v/>
      </c>
      <c r="Q22" s="7">
        <f>IF(D22=0,"",M22/D22-1)</f>
        <v/>
      </c>
    </row>
    <row r="23">
      <c r="A23" s="5" t="inlineStr">
        <is>
          <t>1422109</t>
        </is>
      </c>
      <c r="B23" s="5" t="inlineStr">
        <is>
          <t>ايرادات  الكشفية</t>
        </is>
      </c>
      <c r="C23" s="5" t="inlineStr">
        <is>
          <t>الرسوم والتراخيص</t>
        </is>
      </c>
      <c r="D23" s="6" t="n">
        <v>7132142.91</v>
      </c>
      <c r="E23" s="6" t="n">
        <v>5653796.45</v>
      </c>
      <c r="F23" s="6" t="n">
        <v>69357</v>
      </c>
      <c r="G23" s="6" t="n">
        <v>6844995.41</v>
      </c>
      <c r="H23" s="6" t="n">
        <v>2070998.8</v>
      </c>
      <c r="I23" s="6" t="n">
        <v>1949868</v>
      </c>
      <c r="J23" s="15">
        <f>IF(G23&gt;0,MIN(الافتراضات!$B$8,MAX(الافتراضات!$B$7,E23/G23)),IF(E23&gt;0,1,0))</f>
        <v/>
      </c>
      <c r="K23" s="6">
        <f>IF(AND(E23=0,F23=0),0,MAX(F23,H23*J23))</f>
        <v/>
      </c>
      <c r="L23" s="6">
        <f>IF(AND(E23=0,F23=0),0,MAX(F23,I23*MIN(J23,1)))</f>
        <v/>
      </c>
      <c r="M23" s="6">
        <f>E23+K23</f>
        <v/>
      </c>
      <c r="N23" s="6">
        <f>E23+L23</f>
        <v/>
      </c>
      <c r="O23" s="6">
        <f>E23*12/9</f>
        <v/>
      </c>
      <c r="P23" s="6">
        <f>M23-O23</f>
        <v/>
      </c>
      <c r="Q23" s="7">
        <f>IF(D23=0,"",M23/D23-1)</f>
        <v/>
      </c>
    </row>
    <row r="24">
      <c r="A24" s="5" t="inlineStr">
        <is>
          <t>1421910</t>
        </is>
      </c>
      <c r="B24" s="5" t="inlineStr">
        <is>
          <t>اصدار تراخيص اشغال الارصفة العامة و الطرق</t>
        </is>
      </c>
      <c r="C24" s="5" t="inlineStr">
        <is>
          <t>الرسوم والتراخيص</t>
        </is>
      </c>
      <c r="D24" s="6" t="n">
        <v>3477675.2</v>
      </c>
      <c r="E24" s="6" t="n">
        <v>3539388.27</v>
      </c>
      <c r="F24" s="6" t="n">
        <v>25542.8</v>
      </c>
      <c r="G24" s="6" t="n">
        <v>2228519.26</v>
      </c>
      <c r="H24" s="6" t="n">
        <v>923715.59</v>
      </c>
      <c r="I24" s="6" t="n">
        <v>753099.16</v>
      </c>
      <c r="J24" s="15">
        <f>IF(G24&gt;0,MIN(الافتراضات!$B$8,MAX(الافتراضات!$B$7,E24/G24)),IF(E24&gt;0,1,0))</f>
        <v/>
      </c>
      <c r="K24" s="6">
        <f>IF(AND(E24=0,F24=0),0,MAX(F24,H24*J24))</f>
        <v/>
      </c>
      <c r="L24" s="6">
        <f>IF(AND(E24=0,F24=0),0,MAX(F24,I24*MIN(J24,1)))</f>
        <v/>
      </c>
      <c r="M24" s="6">
        <f>E24+K24</f>
        <v/>
      </c>
      <c r="N24" s="6">
        <f>E24+L24</f>
        <v/>
      </c>
      <c r="O24" s="6">
        <f>E24*12/9</f>
        <v/>
      </c>
      <c r="P24" s="6">
        <f>M24-O24</f>
        <v/>
      </c>
      <c r="Q24" s="7">
        <f>IF(D24=0,"",M24/D24-1)</f>
        <v/>
      </c>
    </row>
    <row r="25">
      <c r="A25" s="5" t="inlineStr">
        <is>
          <t>بدون رقم</t>
        </is>
      </c>
      <c r="B25" s="5" t="inlineStr">
        <is>
          <t>بدون رقم (خدمات علم + جزاءات)</t>
        </is>
      </c>
      <c r="C25" s="5" t="inlineStr">
        <is>
          <t>علم / جزاءات</t>
        </is>
      </c>
      <c r="D25" s="6" t="n">
        <v>21814890</v>
      </c>
      <c r="E25" s="6" t="n">
        <v>1732017.5</v>
      </c>
      <c r="F25" s="6" t="n">
        <v>390906.25</v>
      </c>
      <c r="G25" s="6" t="n">
        <v>9460985</v>
      </c>
      <c r="H25" s="6" t="n">
        <v>4795561.25</v>
      </c>
      <c r="I25" s="6" t="n">
        <v>1566843.75</v>
      </c>
      <c r="J25" s="15">
        <f>IF(G25&gt;0,MIN(الافتراضات!$B$8,MAX(الافتراضات!$B$7,E25/G25)),IF(E25&gt;0,1,0))</f>
        <v/>
      </c>
      <c r="K25" s="6">
        <f>IF(AND(E25=0,F25=0),0,MAX(F25,H25*J25))</f>
        <v/>
      </c>
      <c r="L25" s="6">
        <f>IF(AND(E25=0,F25=0),0,MAX(F25,I25*MIN(J25,1)))</f>
        <v/>
      </c>
      <c r="M25" s="6">
        <f>E25+K25</f>
        <v/>
      </c>
      <c r="N25" s="6">
        <f>E25+L25</f>
        <v/>
      </c>
      <c r="O25" s="6">
        <f>E25*12/9</f>
        <v/>
      </c>
      <c r="P25" s="6">
        <f>M25-O25</f>
        <v/>
      </c>
      <c r="Q25" s="7">
        <f>IF(D25=0,"",M25/D25-1)</f>
        <v/>
      </c>
    </row>
    <row r="26">
      <c r="A26" s="5" t="inlineStr">
        <is>
          <t>11452105</t>
        </is>
      </c>
      <c r="B26" s="5" t="inlineStr">
        <is>
          <t>رسوم تراخيص حفر الشوارع</t>
        </is>
      </c>
      <c r="C26" s="5" t="inlineStr">
        <is>
          <t>الرسوم والتراخيص</t>
        </is>
      </c>
      <c r="D26" s="6" t="n">
        <v>590915.4300000001</v>
      </c>
      <c r="E26" s="6" t="n">
        <v>1350</v>
      </c>
      <c r="F26" s="6" t="n">
        <v>0</v>
      </c>
      <c r="G26" s="6" t="n">
        <v>48367971.36</v>
      </c>
      <c r="H26" s="6" t="n">
        <v>6431057.76</v>
      </c>
      <c r="I26" s="6" t="n">
        <v>0</v>
      </c>
      <c r="J26" s="15">
        <f>IF(G26&gt;0,MIN(الافتراضات!$B$8,MAX(الافتراضات!$B$7,E26/G26)),IF(E26&gt;0,1,0))</f>
        <v/>
      </c>
      <c r="K26" s="6">
        <f>IF(AND(E26=0,F26=0),0,MAX(F26,H26*J26))</f>
        <v/>
      </c>
      <c r="L26" s="6">
        <f>IF(AND(E26=0,F26=0),0,MAX(F26,I26*MIN(J26,1)))</f>
        <v/>
      </c>
      <c r="M26" s="6">
        <f>E26+K26</f>
        <v/>
      </c>
      <c r="N26" s="6">
        <f>E26+L26</f>
        <v/>
      </c>
      <c r="O26" s="6">
        <f>E26*12/9</f>
        <v/>
      </c>
      <c r="P26" s="6">
        <f>M26-O26</f>
        <v/>
      </c>
      <c r="Q26" s="7">
        <f>IF(D26=0,"",M26/D26-1)</f>
        <v/>
      </c>
    </row>
    <row r="27">
      <c r="A27" s="5" t="inlineStr">
        <is>
          <t>1421901</t>
        </is>
      </c>
      <c r="B27" s="5" t="inlineStr">
        <is>
          <t>بيع الوثائق والأنظمة</t>
        </is>
      </c>
      <c r="C27" s="5" t="inlineStr">
        <is>
          <t>أخرى</t>
        </is>
      </c>
      <c r="D27" s="6" t="n">
        <v>2512377</v>
      </c>
      <c r="E27" s="6" t="n">
        <v>1623637</v>
      </c>
      <c r="F27" s="6" t="n">
        <v>500</v>
      </c>
      <c r="G27" s="6" t="n">
        <v>2021695</v>
      </c>
      <c r="H27" s="6" t="n">
        <v>714900</v>
      </c>
      <c r="I27" s="6" t="n">
        <v>572900</v>
      </c>
      <c r="J27" s="15">
        <f>IF(G27&gt;0,MIN(الافتراضات!$B$8,MAX(الافتراضات!$B$7,E27/G27)),IF(E27&gt;0,1,0))</f>
        <v/>
      </c>
      <c r="K27" s="6">
        <f>IF(AND(E27=0,F27=0),0,MAX(F27,H27*J27))</f>
        <v/>
      </c>
      <c r="L27" s="6">
        <f>IF(AND(E27=0,F27=0),0,MAX(F27,I27*MIN(J27,1)))</f>
        <v/>
      </c>
      <c r="M27" s="6">
        <f>E27+K27</f>
        <v/>
      </c>
      <c r="N27" s="6">
        <f>E27+L27</f>
        <v/>
      </c>
      <c r="O27" s="6">
        <f>E27*12/9</f>
        <v/>
      </c>
      <c r="P27" s="6">
        <f>M27-O27</f>
        <v/>
      </c>
      <c r="Q27" s="7">
        <f>IF(D27=0,"",M27/D27-1)</f>
        <v/>
      </c>
    </row>
    <row r="28">
      <c r="A28" s="5" t="inlineStr">
        <is>
          <t>1421912</t>
        </is>
      </c>
      <c r="B28" s="5" t="inlineStr">
        <is>
          <t>تأجير العقارات لأغراض مؤقته</t>
        </is>
      </c>
      <c r="C28" s="5" t="inlineStr">
        <is>
          <t>إيرادات إستثمارية</t>
        </is>
      </c>
      <c r="D28" s="6" t="n">
        <v>2454143.51</v>
      </c>
      <c r="E28" s="6" t="n">
        <v>1357611.55</v>
      </c>
      <c r="F28" s="6" t="n">
        <v>0</v>
      </c>
      <c r="G28" s="6" t="n">
        <v>1482330.88</v>
      </c>
      <c r="H28" s="6" t="n">
        <v>561509.62</v>
      </c>
      <c r="I28" s="6" t="n">
        <v>385234.73</v>
      </c>
      <c r="J28" s="15">
        <f>IF(G28&gt;0,MIN(الافتراضات!$B$8,MAX(الافتراضات!$B$7,E28/G28)),IF(E28&gt;0,1,0))</f>
        <v/>
      </c>
      <c r="K28" s="6">
        <f>IF(AND(E28=0,F28=0),0,MAX(F28,H28*J28))</f>
        <v/>
      </c>
      <c r="L28" s="6">
        <f>IF(AND(E28=0,F28=0),0,MAX(F28,I28*MIN(J28,1)))</f>
        <v/>
      </c>
      <c r="M28" s="6">
        <f>E28+K28</f>
        <v/>
      </c>
      <c r="N28" s="6">
        <f>E28+L28</f>
        <v/>
      </c>
      <c r="O28" s="6">
        <f>E28*12/9</f>
        <v/>
      </c>
      <c r="P28" s="6">
        <f>M28-O28</f>
        <v/>
      </c>
      <c r="Q28" s="7">
        <f>IF(D28=0,"",M28/D28-1)</f>
        <v/>
      </c>
    </row>
    <row r="29">
      <c r="A29" s="5" t="inlineStr">
        <is>
          <t>11452110</t>
        </is>
      </c>
      <c r="B29" s="5" t="inlineStr">
        <is>
          <t>إصدار تراخيص إستخدام أملاك خاصة لإقامة فعاليات</t>
        </is>
      </c>
      <c r="C29" s="5" t="inlineStr">
        <is>
          <t>الرسوم والتراخيص</t>
        </is>
      </c>
      <c r="D29" s="6" t="n">
        <v>809215.9</v>
      </c>
      <c r="E29" s="6" t="n">
        <v>582595.83</v>
      </c>
      <c r="F29" s="6" t="n">
        <v>11591.94</v>
      </c>
      <c r="G29" s="6" t="n">
        <v>575291.9399999999</v>
      </c>
      <c r="H29" s="6" t="n">
        <v>218168.33</v>
      </c>
      <c r="I29" s="6" t="n">
        <v>198007.98</v>
      </c>
      <c r="J29" s="15">
        <f>IF(G29&gt;0,MIN(الافتراضات!$B$8,MAX(الافتراضات!$B$7,E29/G29)),IF(E29&gt;0,1,0))</f>
        <v/>
      </c>
      <c r="K29" s="6">
        <f>IF(AND(E29=0,F29=0),0,MAX(F29,H29*J29))</f>
        <v/>
      </c>
      <c r="L29" s="6">
        <f>IF(AND(E29=0,F29=0),0,MAX(F29,I29*MIN(J29,1)))</f>
        <v/>
      </c>
      <c r="M29" s="6">
        <f>E29+K29</f>
        <v/>
      </c>
      <c r="N29" s="6">
        <f>E29+L29</f>
        <v/>
      </c>
      <c r="O29" s="6">
        <f>E29*12/9</f>
        <v/>
      </c>
      <c r="P29" s="6">
        <f>M29-O29</f>
        <v/>
      </c>
      <c r="Q29" s="7">
        <f>IF(D29=0,"",M29/D29-1)</f>
        <v/>
      </c>
    </row>
    <row r="30">
      <c r="A30" s="5" t="inlineStr">
        <is>
          <t>11452106</t>
        </is>
      </c>
      <c r="B30" s="5" t="inlineStr">
        <is>
          <t>اصدار التراخيص بتأسيس أو تشغيل ابراج الاتصالات</t>
        </is>
      </c>
      <c r="C30" s="5" t="inlineStr">
        <is>
          <t>الرسوم والتراخيص</t>
        </is>
      </c>
      <c r="D30" s="6" t="n">
        <v>1275300</v>
      </c>
      <c r="E30" s="6" t="n">
        <v>342700</v>
      </c>
      <c r="F30" s="6" t="n">
        <v>0</v>
      </c>
      <c r="G30" s="6" t="n">
        <v>721300</v>
      </c>
      <c r="H30" s="6" t="n">
        <v>458800</v>
      </c>
      <c r="I30" s="6" t="n">
        <v>423100</v>
      </c>
      <c r="J30" s="15">
        <f>IF(G30&gt;0,MIN(الافتراضات!$B$8,MAX(الافتراضات!$B$7,E30/G30)),IF(E30&gt;0,1,0))</f>
        <v/>
      </c>
      <c r="K30" s="6">
        <f>IF(AND(E30=0,F30=0),0,MAX(F30,H30*J30))</f>
        <v/>
      </c>
      <c r="L30" s="6">
        <f>IF(AND(E30=0,F30=0),0,MAX(F30,I30*MIN(J30,1)))</f>
        <v/>
      </c>
      <c r="M30" s="6">
        <f>E30+K30</f>
        <v/>
      </c>
      <c r="N30" s="6">
        <f>E30+L30</f>
        <v/>
      </c>
      <c r="O30" s="6">
        <f>E30*12/9</f>
        <v/>
      </c>
      <c r="P30" s="6">
        <f>M30-O30</f>
        <v/>
      </c>
      <c r="Q30" s="7">
        <f>IF(D30=0,"",M30/D30-1)</f>
        <v/>
      </c>
    </row>
    <row r="31">
      <c r="A31" s="5" t="inlineStr">
        <is>
          <t>1421903</t>
        </is>
      </c>
      <c r="B31" s="5" t="inlineStr">
        <is>
          <t>مبيعات التيار الكهربائي</t>
        </is>
      </c>
      <c r="C31" s="5" t="inlineStr">
        <is>
          <t>إيرادات إستثمارية</t>
        </is>
      </c>
      <c r="D31" s="6" t="n">
        <v>1464687.1</v>
      </c>
      <c r="E31" s="6" t="n">
        <v>274868.65</v>
      </c>
      <c r="F31" s="6" t="n">
        <v>0</v>
      </c>
      <c r="G31" s="6" t="n">
        <v>0</v>
      </c>
      <c r="H31" s="6" t="n">
        <v>0</v>
      </c>
      <c r="I31" s="6" t="n">
        <v>0</v>
      </c>
      <c r="J31" s="15">
        <f>IF(G31&gt;0,MIN(الافتراضات!$B$8,MAX(الافتراضات!$B$7,E31/G31)),IF(E31&gt;0,1,0))</f>
        <v/>
      </c>
      <c r="K31" s="6">
        <f>IF(AND(E31=0,F31=0),0,MAX(F31,H31*J31))</f>
        <v/>
      </c>
      <c r="L31" s="6">
        <f>IF(AND(E31=0,F31=0),0,MAX(F31,I31*MIN(J31,1)))</f>
        <v/>
      </c>
      <c r="M31" s="6">
        <f>E31+K31</f>
        <v/>
      </c>
      <c r="N31" s="6">
        <f>E31+L31</f>
        <v/>
      </c>
      <c r="O31" s="6">
        <f>E31*12/9</f>
        <v/>
      </c>
      <c r="P31" s="6">
        <f>M31-O31</f>
        <v/>
      </c>
      <c r="Q31" s="7">
        <f>IF(D31=0,"",M31/D31-1)</f>
        <v/>
      </c>
    </row>
    <row r="32">
      <c r="A32" s="5" t="inlineStr">
        <is>
          <t>1439</t>
        </is>
      </c>
      <c r="B32" s="5" t="inlineStr">
        <is>
          <t>ايرادات  مبيعات  ناتجه من النشاط غير مصنفة</t>
        </is>
      </c>
      <c r="C32" s="5" t="inlineStr">
        <is>
          <t>جزاءات وغرامات</t>
        </is>
      </c>
      <c r="D32" s="6" t="n">
        <v>8503508</v>
      </c>
      <c r="E32" s="6" t="n">
        <v>183000</v>
      </c>
      <c r="F32" s="6" t="n">
        <v>0</v>
      </c>
      <c r="G32" s="6" t="n">
        <v>1497100</v>
      </c>
      <c r="H32" s="6" t="n">
        <v>144348</v>
      </c>
      <c r="I32" s="6" t="n">
        <v>14000</v>
      </c>
      <c r="J32" s="15">
        <f>IF(G32&gt;0,MIN(الافتراضات!$B$8,MAX(الافتراضات!$B$7,E32/G32)),IF(E32&gt;0,1,0))</f>
        <v/>
      </c>
      <c r="K32" s="6">
        <f>IF(AND(E32=0,F32=0),0,MAX(F32,H32*J32))</f>
        <v/>
      </c>
      <c r="L32" s="6">
        <f>IF(AND(E32=0,F32=0),0,MAX(F32,I32*MIN(J32,1)))</f>
        <v/>
      </c>
      <c r="M32" s="6">
        <f>E32+K32</f>
        <v/>
      </c>
      <c r="N32" s="6">
        <f>E32+L32</f>
        <v/>
      </c>
      <c r="O32" s="6">
        <f>E32*12/9</f>
        <v/>
      </c>
      <c r="P32" s="6">
        <f>M32-O32</f>
        <v/>
      </c>
      <c r="Q32" s="7">
        <f>IF(D32=0,"",M32/D32-1)</f>
        <v/>
      </c>
    </row>
    <row r="33">
      <c r="A33" s="5" t="inlineStr">
        <is>
          <t>11452109</t>
        </is>
      </c>
      <c r="B33" s="5" t="inlineStr">
        <is>
          <t>اعتماد مخططات التطوير العقاري</t>
        </is>
      </c>
      <c r="C33" s="5" t="inlineStr">
        <is>
          <t>الرسوم والتراخيص</t>
        </is>
      </c>
      <c r="D33" s="6" t="n">
        <v>591946.73</v>
      </c>
      <c r="E33" s="6" t="n">
        <v>100</v>
      </c>
      <c r="F33" s="6" t="n">
        <v>0</v>
      </c>
      <c r="G33" s="6" t="n">
        <v>481600.81</v>
      </c>
      <c r="H33" s="6" t="n">
        <v>458948.18</v>
      </c>
      <c r="I33" s="6" t="n">
        <v>110345.92</v>
      </c>
      <c r="J33" s="15">
        <f>IF(G33&gt;0,MIN(الافتراضات!$B$8,MAX(الافتراضات!$B$7,E33/G33)),IF(E33&gt;0,1,0))</f>
        <v/>
      </c>
      <c r="K33" s="6">
        <f>IF(AND(E33=0,F33=0),0,MAX(F33,H33*J33))</f>
        <v/>
      </c>
      <c r="L33" s="6">
        <f>IF(AND(E33=0,F33=0),0,MAX(F33,I33*MIN(J33,1)))</f>
        <v/>
      </c>
      <c r="M33" s="6">
        <f>E33+K33</f>
        <v/>
      </c>
      <c r="N33" s="6">
        <f>E33+L33</f>
        <v/>
      </c>
      <c r="O33" s="6">
        <f>E33*12/9</f>
        <v/>
      </c>
      <c r="P33" s="6">
        <f>M33-O33</f>
        <v/>
      </c>
      <c r="Q33" s="7">
        <f>IF(D33=0,"",M33/D33-1)</f>
        <v/>
      </c>
    </row>
    <row r="34">
      <c r="A34" s="5" t="inlineStr">
        <is>
          <t>11452107</t>
        </is>
      </c>
      <c r="B34" s="5" t="inlineStr">
        <is>
          <t>اصدار التراخيص بتأسيس أو تشغيل الصراف الآلي</t>
        </is>
      </c>
      <c r="C34" s="5" t="inlineStr">
        <is>
          <t>الرسوم والتراخيص</t>
        </is>
      </c>
      <c r="D34" s="6" t="n">
        <v>229800</v>
      </c>
      <c r="E34" s="6" t="n">
        <v>142784.61</v>
      </c>
      <c r="F34" s="6" t="n">
        <v>16150</v>
      </c>
      <c r="G34" s="6" t="n">
        <v>35000</v>
      </c>
      <c r="H34" s="6" t="n">
        <v>49300</v>
      </c>
      <c r="I34" s="6" t="n">
        <v>19000</v>
      </c>
      <c r="J34" s="15">
        <f>IF(G34&gt;0,MIN(الافتراضات!$B$8,MAX(الافتراضات!$B$7,E34/G34)),IF(E34&gt;0,1,0))</f>
        <v/>
      </c>
      <c r="K34" s="6">
        <f>IF(AND(E34=0,F34=0),0,MAX(F34,H34*J34))</f>
        <v/>
      </c>
      <c r="L34" s="6">
        <f>IF(AND(E34=0,F34=0),0,MAX(F34,I34*MIN(J34,1)))</f>
        <v/>
      </c>
      <c r="M34" s="6">
        <f>E34+K34</f>
        <v/>
      </c>
      <c r="N34" s="6">
        <f>E34+L34</f>
        <v/>
      </c>
      <c r="O34" s="6">
        <f>E34*12/9</f>
        <v/>
      </c>
      <c r="P34" s="6">
        <f>M34-O34</f>
        <v/>
      </c>
      <c r="Q34" s="7">
        <f>IF(D34=0,"",M34/D34-1)</f>
        <v/>
      </c>
    </row>
    <row r="35">
      <c r="A35" s="5" t="inlineStr">
        <is>
          <t>3318212</t>
        </is>
      </c>
      <c r="B35" s="5" t="inlineStr">
        <is>
          <t>مرتجع رواتب - فواتير</t>
        </is>
      </c>
      <c r="C35" s="5" t="inlineStr">
        <is>
          <t>أخرى</t>
        </is>
      </c>
      <c r="D35" s="6" t="n">
        <v>152767.79</v>
      </c>
      <c r="E35" s="6" t="n">
        <v>216725.66</v>
      </c>
      <c r="F35" s="6" t="n">
        <v>0</v>
      </c>
      <c r="G35" s="6" t="n">
        <v>0</v>
      </c>
      <c r="H35" s="6" t="n">
        <v>0</v>
      </c>
      <c r="I35" s="6" t="n">
        <v>0</v>
      </c>
      <c r="J35" s="15">
        <f>IF(G35&gt;0,MIN(الافتراضات!$B$8,MAX(الافتراضات!$B$7,E35/G35)),IF(E35&gt;0,1,0))</f>
        <v/>
      </c>
      <c r="K35" s="6">
        <f>IF(AND(E35=0,F35=0),0,MAX(F35,H35*J35))</f>
        <v/>
      </c>
      <c r="L35" s="6">
        <f>IF(AND(E35=0,F35=0),0,MAX(F35,I35*MIN(J35,1)))</f>
        <v/>
      </c>
      <c r="M35" s="6">
        <f>E35+K35</f>
        <v/>
      </c>
      <c r="N35" s="6">
        <f>E35+L35</f>
        <v/>
      </c>
      <c r="O35" s="6">
        <f>E35*12/9</f>
        <v/>
      </c>
      <c r="P35" s="6">
        <f>M35-O35</f>
        <v/>
      </c>
      <c r="Q35" s="7">
        <f>IF(D35=0,"",M35/D35-1)</f>
        <v/>
      </c>
    </row>
    <row r="36">
      <c r="A36" s="5" t="inlineStr">
        <is>
          <t>141229</t>
        </is>
      </c>
      <c r="B36" s="5" t="inlineStr">
        <is>
          <t>أرباح أخرى</t>
        </is>
      </c>
      <c r="C36" s="5" t="inlineStr">
        <is>
          <t>إيرادات إستثمارية</t>
        </is>
      </c>
      <c r="D36" s="6" t="n">
        <v>30000</v>
      </c>
      <c r="E36" s="6" t="n">
        <v>60000</v>
      </c>
      <c r="F36" s="6" t="n">
        <v>0</v>
      </c>
      <c r="G36" s="6" t="n">
        <v>80000</v>
      </c>
      <c r="H36" s="6" t="n">
        <v>70000</v>
      </c>
      <c r="I36" s="6" t="n">
        <v>0</v>
      </c>
      <c r="J36" s="15">
        <f>IF(G36&gt;0,MIN(الافتراضات!$B$8,MAX(الافتراضات!$B$7,E36/G36)),IF(E36&gt;0,1,0))</f>
        <v/>
      </c>
      <c r="K36" s="6">
        <f>IF(AND(E36=0,F36=0),0,MAX(F36,H36*J36))</f>
        <v/>
      </c>
      <c r="L36" s="6">
        <f>IF(AND(E36=0,F36=0),0,MAX(F36,I36*MIN(J36,1)))</f>
        <v/>
      </c>
      <c r="M36" s="6">
        <f>E36+K36</f>
        <v/>
      </c>
      <c r="N36" s="6">
        <f>E36+L36</f>
        <v/>
      </c>
      <c r="O36" s="6">
        <f>E36*12/9</f>
        <v/>
      </c>
      <c r="P36" s="6">
        <f>M36-O36</f>
        <v/>
      </c>
      <c r="Q36" s="7">
        <f>IF(D36=0,"",M36/D36-1)</f>
        <v/>
      </c>
    </row>
    <row r="37">
      <c r="A37" s="5" t="inlineStr">
        <is>
          <t>1438</t>
        </is>
      </c>
      <c r="B37" s="5" t="inlineStr">
        <is>
          <t>جزاءات وغرامات مفروضة بموجب أنظمة الجهة</t>
        </is>
      </c>
      <c r="C37" s="5" t="inlineStr">
        <is>
          <t>جزاءات وغرامات</t>
        </is>
      </c>
      <c r="D37" s="6" t="n">
        <v>352900</v>
      </c>
      <c r="E37" s="6" t="n">
        <v>59500</v>
      </c>
      <c r="F37" s="6" t="n">
        <v>0</v>
      </c>
      <c r="G37" s="6" t="n">
        <v>368600</v>
      </c>
      <c r="H37" s="6" t="n">
        <v>81100</v>
      </c>
      <c r="I37" s="6" t="n">
        <v>56700</v>
      </c>
      <c r="J37" s="15">
        <f>IF(G37&gt;0,MIN(الافتراضات!$B$8,MAX(الافتراضات!$B$7,E37/G37)),IF(E37&gt;0,1,0))</f>
        <v/>
      </c>
      <c r="K37" s="6">
        <f>IF(AND(E37=0,F37=0),0,MAX(F37,H37*J37))</f>
        <v/>
      </c>
      <c r="L37" s="6">
        <f>IF(AND(E37=0,F37=0),0,MAX(F37,I37*MIN(J37,1)))</f>
        <v/>
      </c>
      <c r="M37" s="6">
        <f>E37+K37</f>
        <v/>
      </c>
      <c r="N37" s="6">
        <f>E37+L37</f>
        <v/>
      </c>
      <c r="O37" s="6">
        <f>E37*12/9</f>
        <v/>
      </c>
      <c r="P37" s="6">
        <f>M37-O37</f>
        <v/>
      </c>
      <c r="Q37" s="7">
        <f>IF(D37=0,"",M37/D37-1)</f>
        <v/>
      </c>
    </row>
    <row r="38">
      <c r="A38" s="5" t="inlineStr">
        <is>
          <t>1421907</t>
        </is>
      </c>
      <c r="B38" s="5" t="inlineStr">
        <is>
          <t>إيرادات المخططات</t>
        </is>
      </c>
      <c r="C38" s="5" t="inlineStr">
        <is>
          <t>الرسوم والتراخيص</t>
        </is>
      </c>
      <c r="D38" s="6" t="n">
        <v>20650</v>
      </c>
      <c r="E38" s="6" t="n">
        <v>5550</v>
      </c>
      <c r="F38" s="6" t="n">
        <v>0</v>
      </c>
      <c r="G38" s="6" t="n">
        <v>0</v>
      </c>
      <c r="H38" s="6" t="n">
        <v>0</v>
      </c>
      <c r="I38" s="6" t="n">
        <v>0</v>
      </c>
      <c r="J38" s="15">
        <f>IF(G38&gt;0,MIN(الافتراضات!$B$8,MAX(الافتراضات!$B$7,E38/G38)),IF(E38&gt;0,1,0))</f>
        <v/>
      </c>
      <c r="K38" s="6">
        <f>IF(AND(E38=0,F38=0),0,MAX(F38,H38*J38))</f>
        <v/>
      </c>
      <c r="L38" s="6">
        <f>IF(AND(E38=0,F38=0),0,MAX(F38,I38*MIN(J38,1)))</f>
        <v/>
      </c>
      <c r="M38" s="6">
        <f>E38+K38</f>
        <v/>
      </c>
      <c r="N38" s="6">
        <f>E38+L38</f>
        <v/>
      </c>
      <c r="O38" s="6">
        <f>E38*12/9</f>
        <v/>
      </c>
      <c r="P38" s="6">
        <f>M38-O38</f>
        <v/>
      </c>
      <c r="Q38" s="7">
        <f>IF(D38=0,"",M38/D38-1)</f>
        <v/>
      </c>
    </row>
    <row r="39">
      <c r="A39" s="5" t="inlineStr">
        <is>
          <t>11452513</t>
        </is>
      </c>
      <c r="B39" s="5" t="inlineStr">
        <is>
          <t>لوحات إرشـادية</t>
        </is>
      </c>
      <c r="C39" s="5" t="inlineStr">
        <is>
          <t>الرسوم والتراخيص</t>
        </is>
      </c>
      <c r="D39" s="6" t="n">
        <v>9000</v>
      </c>
      <c r="E39" s="6" t="n">
        <v>600</v>
      </c>
      <c r="F39" s="6" t="n">
        <v>0</v>
      </c>
      <c r="G39" s="6" t="n">
        <v>9475</v>
      </c>
      <c r="H39" s="6" t="n">
        <v>3400</v>
      </c>
      <c r="I39" s="6" t="n">
        <v>0</v>
      </c>
      <c r="J39" s="15">
        <f>IF(G39&gt;0,MIN(الافتراضات!$B$8,MAX(الافتراضات!$B$7,E39/G39)),IF(E39&gt;0,1,0))</f>
        <v/>
      </c>
      <c r="K39" s="6">
        <f>IF(AND(E39=0,F39=0),0,MAX(F39,H39*J39))</f>
        <v/>
      </c>
      <c r="L39" s="6">
        <f>IF(AND(E39=0,F39=0),0,MAX(F39,I39*MIN(J39,1)))</f>
        <v/>
      </c>
      <c r="M39" s="6">
        <f>E39+K39</f>
        <v/>
      </c>
      <c r="N39" s="6">
        <f>E39+L39</f>
        <v/>
      </c>
      <c r="O39" s="6">
        <f>E39*12/9</f>
        <v/>
      </c>
      <c r="P39" s="6">
        <f>M39-O39</f>
        <v/>
      </c>
      <c r="Q39" s="7">
        <f>IF(D39=0,"",M39/D39-1)</f>
        <v/>
      </c>
    </row>
    <row r="40">
      <c r="A40" s="5" t="inlineStr">
        <is>
          <t>1422103</t>
        </is>
      </c>
      <c r="B40" s="5" t="inlineStr">
        <is>
          <t>تراخيص المحلات</t>
        </is>
      </c>
      <c r="C40" s="5" t="inlineStr">
        <is>
          <t>إيرادات إستثمارية</t>
        </is>
      </c>
      <c r="D40" s="6" t="n">
        <v>1603.2</v>
      </c>
      <c r="E40" s="6" t="n">
        <v>432</v>
      </c>
      <c r="F40" s="6" t="n">
        <v>0</v>
      </c>
      <c r="G40" s="6" t="n">
        <v>10275.6</v>
      </c>
      <c r="H40" s="6" t="n">
        <v>2091.6</v>
      </c>
      <c r="I40" s="6" t="n">
        <v>528</v>
      </c>
      <c r="J40" s="15">
        <f>IF(G40&gt;0,MIN(الافتراضات!$B$8,MAX(الافتراضات!$B$7,E40/G40)),IF(E40&gt;0,1,0))</f>
        <v/>
      </c>
      <c r="K40" s="6">
        <f>IF(AND(E40=0,F40=0),0,MAX(F40,H40*J40))</f>
        <v/>
      </c>
      <c r="L40" s="6">
        <f>IF(AND(E40=0,F40=0),0,MAX(F40,I40*MIN(J40,1)))</f>
        <v/>
      </c>
      <c r="M40" s="6">
        <f>E40+K40</f>
        <v/>
      </c>
      <c r="N40" s="6">
        <f>E40+L40</f>
        <v/>
      </c>
      <c r="O40" s="6">
        <f>E40*12/9</f>
        <v/>
      </c>
      <c r="P40" s="6">
        <f>M40-O40</f>
        <v/>
      </c>
      <c r="Q40" s="7">
        <f>IF(D40=0,"",M40/D40-1)</f>
        <v/>
      </c>
    </row>
    <row r="41">
      <c r="A41" s="5" t="inlineStr">
        <is>
          <t>11422</t>
        </is>
      </c>
      <c r="B41" s="5" t="inlineStr">
        <is>
          <t>رسوم منتجات التبغ</t>
        </is>
      </c>
      <c r="C41" s="5" t="inlineStr">
        <is>
          <t>التبغ والإيواء</t>
        </is>
      </c>
      <c r="D41" s="6" t="n">
        <v>27000</v>
      </c>
      <c r="E41" s="6" t="n">
        <v>0</v>
      </c>
      <c r="F41" s="6" t="n">
        <v>0</v>
      </c>
      <c r="G41" s="6" t="n">
        <v>27000</v>
      </c>
      <c r="H41" s="6" t="n">
        <v>0</v>
      </c>
      <c r="I41" s="6" t="n">
        <v>0</v>
      </c>
      <c r="J41" s="15">
        <f>IF(G41&gt;0,MIN(الافتراضات!$B$8,MAX(الافتراضات!$B$7,E41/G41)),IF(E41&gt;0,1,0))</f>
        <v/>
      </c>
      <c r="K41" s="6">
        <f>IF(AND(E41=0,F41=0),0,MAX(F41,H41*J41))</f>
        <v/>
      </c>
      <c r="L41" s="6">
        <f>IF(AND(E41=0,F41=0),0,MAX(F41,I41*MIN(J41,1)))</f>
        <v/>
      </c>
      <c r="M41" s="6">
        <f>E41+K41</f>
        <v/>
      </c>
      <c r="N41" s="6">
        <f>E41+L41</f>
        <v/>
      </c>
      <c r="O41" s="6">
        <f>E41*12/9</f>
        <v/>
      </c>
      <c r="P41" s="6">
        <f>M41-O41</f>
        <v/>
      </c>
      <c r="Q41" s="7">
        <f>IF(D41=0,"",M41/D41-1)</f>
        <v/>
      </c>
    </row>
    <row r="42">
      <c r="A42" s="5" t="inlineStr">
        <is>
          <t>142161</t>
        </is>
      </c>
      <c r="B42" s="5" t="inlineStr">
        <is>
          <t>تاجير مباني سكنية</t>
        </is>
      </c>
      <c r="C42" s="5" t="inlineStr">
        <is>
          <t>إيرادات إستثمارية</t>
        </is>
      </c>
      <c r="D42" s="6" t="n">
        <v>6000</v>
      </c>
      <c r="E42" s="6" t="n">
        <v>0</v>
      </c>
      <c r="F42" s="6" t="n">
        <v>0</v>
      </c>
      <c r="G42" s="6" t="n">
        <v>0</v>
      </c>
      <c r="H42" s="6" t="n">
        <v>0</v>
      </c>
      <c r="I42" s="6" t="n">
        <v>0</v>
      </c>
      <c r="J42" s="15">
        <f>IF(G42&gt;0,MIN(الافتراضات!$B$8,MAX(الافتراضات!$B$7,E42/G42)),IF(E42&gt;0,1,0))</f>
        <v/>
      </c>
      <c r="K42" s="6">
        <f>IF(AND(E42=0,F42=0),0,MAX(F42,H42*J42))</f>
        <v/>
      </c>
      <c r="L42" s="6">
        <f>IF(AND(E42=0,F42=0),0,MAX(F42,I42*MIN(J42,1)))</f>
        <v/>
      </c>
      <c r="M42" s="6">
        <f>E42+K42</f>
        <v/>
      </c>
      <c r="N42" s="6">
        <f>E42+L42</f>
        <v/>
      </c>
      <c r="O42" s="6">
        <f>E42*12/9</f>
        <v/>
      </c>
      <c r="P42" s="6">
        <f>M42-O42</f>
        <v/>
      </c>
      <c r="Q42" s="7">
        <f>IF(D42=0,"",M42/D42-1)</f>
        <v/>
      </c>
    </row>
    <row r="43">
      <c r="A43" s="5" t="inlineStr">
        <is>
          <t>1421908</t>
        </is>
      </c>
      <c r="B43" s="5" t="inlineStr">
        <is>
          <t>ايرادات  رسوم خدمات  بلدية</t>
        </is>
      </c>
      <c r="C43" s="5" t="inlineStr">
        <is>
          <t>إيرادات إستثمارية</t>
        </is>
      </c>
      <c r="D43" s="6" t="n">
        <v>0</v>
      </c>
      <c r="E43" s="6" t="n">
        <v>0</v>
      </c>
      <c r="F43" s="6" t="n">
        <v>0</v>
      </c>
      <c r="G43" s="6" t="n">
        <v>0</v>
      </c>
      <c r="H43" s="6" t="n">
        <v>0</v>
      </c>
      <c r="I43" s="6" t="n">
        <v>0</v>
      </c>
      <c r="J43" s="15">
        <f>IF(G43&gt;0,MIN(الافتراضات!$B$8,MAX(الافتراضات!$B$7,E43/G43)),IF(E43&gt;0,1,0))</f>
        <v/>
      </c>
      <c r="K43" s="6">
        <f>IF(AND(E43=0,F43=0),0,MAX(F43,H43*J43))</f>
        <v/>
      </c>
      <c r="L43" s="6">
        <f>IF(AND(E43=0,F43=0),0,MAX(F43,I43*MIN(J43,1)))</f>
        <v/>
      </c>
      <c r="M43" s="6">
        <f>E43+K43</f>
        <v/>
      </c>
      <c r="N43" s="6">
        <f>E43+L43</f>
        <v/>
      </c>
      <c r="O43" s="6">
        <f>E43*12/9</f>
        <v/>
      </c>
      <c r="P43" s="6">
        <f>M43-O43</f>
        <v/>
      </c>
      <c r="Q43" s="7">
        <f>IF(D43=0,"",M43/D43-1)</f>
        <v/>
      </c>
    </row>
    <row r="44">
      <c r="A44" s="8" t="n"/>
      <c r="B44" s="8" t="inlineStr">
        <is>
          <t>الإجمالي</t>
        </is>
      </c>
      <c r="C44" s="8" t="n"/>
      <c r="D44" s="9">
        <f>SUM(D6:D43)</f>
        <v/>
      </c>
      <c r="E44" s="9">
        <f>SUM(E6:E43)</f>
        <v/>
      </c>
      <c r="F44" s="9">
        <f>SUM(F6:F43)</f>
        <v/>
      </c>
      <c r="G44" s="9">
        <f>SUM(G6:G43)</f>
        <v/>
      </c>
      <c r="H44" s="9">
        <f>SUM(H6:H43)</f>
        <v/>
      </c>
      <c r="I44" s="9">
        <f>SUM(I6:I43)</f>
        <v/>
      </c>
      <c r="J44" s="17" t="n"/>
      <c r="K44" s="9">
        <f>SUM(K6:K43)</f>
        <v/>
      </c>
      <c r="L44" s="9">
        <f>SUM(L6:L43)</f>
        <v/>
      </c>
      <c r="M44" s="9">
        <f>SUM(M6:M43)</f>
        <v/>
      </c>
      <c r="N44" s="9">
        <f>SUM(N6:N43)</f>
        <v/>
      </c>
      <c r="O44" s="9">
        <f>SUM(O6:O43)</f>
        <v/>
      </c>
      <c r="P44" s="9">
        <f>SUM(P6:P43)</f>
        <v/>
      </c>
      <c r="Q44" s="10">
        <f>M44/D44-1</f>
        <v/>
      </c>
    </row>
  </sheetData>
  <autoFilter ref="A5:Q43"/>
  <mergeCells count="1">
    <mergeCell ref="A2:Q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3"/>
  <sheetViews>
    <sheetView rightToLeft="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المحصل الشهري الإجمالي (بدون الضريبة) وحصة كل شهر من السنة</t>
        </is>
      </c>
    </row>
    <row r="2">
      <c r="A2" s="11" t="inlineStr">
        <is>
          <t>2026: أكتوبر جزئي (حتى تاريخ الملف) ونوفمبر وديسمبر لم يحصلا بعد. بعد إعادة التصنيف: نقل 913م من حساب اللوحات الدعائية (142113) إلى تأجير المرافق (142162) في 2025 (مايو 291م ونوفمبر 594م، من إدارة الدعم المالي) حسب تأكيد المستخدم. شهور الذروة المتبقية: يوليو 2024 (312م، إدارة الدعم المالي، لم تُنقل)، يونيو 2026 (تأجير المرافق 409م).</t>
        </is>
      </c>
    </row>
    <row r="4" ht="42" customHeight="1">
      <c r="A4" s="4" t="inlineStr">
        <is>
          <t>السنة</t>
        </is>
      </c>
      <c r="B4" s="4" t="inlineStr">
        <is>
          <t>يناير</t>
        </is>
      </c>
      <c r="C4" s="4" t="inlineStr">
        <is>
          <t>فبراير</t>
        </is>
      </c>
      <c r="D4" s="4" t="inlineStr">
        <is>
          <t>مارس</t>
        </is>
      </c>
      <c r="E4" s="4" t="inlineStr">
        <is>
          <t>أبريل</t>
        </is>
      </c>
      <c r="F4" s="4" t="inlineStr">
        <is>
          <t>مايو</t>
        </is>
      </c>
      <c r="G4" s="4" t="inlineStr">
        <is>
          <t>يونيو</t>
        </is>
      </c>
      <c r="H4" s="4" t="inlineStr">
        <is>
          <t>يوليو</t>
        </is>
      </c>
      <c r="I4" s="4" t="inlineStr">
        <is>
          <t>أغسطس</t>
        </is>
      </c>
      <c r="J4" s="4" t="inlineStr">
        <is>
          <t>سبتمبر</t>
        </is>
      </c>
      <c r="K4" s="4" t="inlineStr">
        <is>
          <t>أكتوبر</t>
        </is>
      </c>
      <c r="L4" s="4" t="inlineStr">
        <is>
          <t>نوفمبر</t>
        </is>
      </c>
      <c r="M4" s="4" t="inlineStr">
        <is>
          <t>ديسمبر</t>
        </is>
      </c>
      <c r="N4" s="4" t="inlineStr">
        <is>
          <t>الإجمالي</t>
        </is>
      </c>
      <c r="O4" s="4" t="inlineStr">
        <is>
          <t>حتى سبتمبر %</t>
        </is>
      </c>
      <c r="P4" s="4" t="inlineStr">
        <is>
          <t>الربع الأخير %</t>
        </is>
      </c>
    </row>
    <row r="5">
      <c r="A5" s="5" t="n">
        <v>2023</v>
      </c>
      <c r="B5" s="6" t="n">
        <v>242718868.41</v>
      </c>
      <c r="C5" s="6" t="n">
        <v>190226377.07</v>
      </c>
      <c r="D5" s="6" t="n">
        <v>213693456.41</v>
      </c>
      <c r="E5" s="6" t="n">
        <v>137496184.37</v>
      </c>
      <c r="F5" s="6" t="n">
        <v>266781046.33</v>
      </c>
      <c r="G5" s="6" t="n">
        <v>188980723.96</v>
      </c>
      <c r="H5" s="6" t="n">
        <v>258110558.94</v>
      </c>
      <c r="I5" s="6" t="n">
        <v>245222659.07</v>
      </c>
      <c r="J5" s="6" t="n">
        <v>292626592.68</v>
      </c>
      <c r="K5" s="6" t="n">
        <v>276317474.25</v>
      </c>
      <c r="L5" s="6" t="n">
        <v>208973805.2</v>
      </c>
      <c r="M5" s="6" t="n">
        <v>237583121.26</v>
      </c>
      <c r="N5" s="6">
        <f>SUM(B5:M5)</f>
        <v/>
      </c>
      <c r="O5" s="7">
        <f>SUM(B5:J5)/N5</f>
        <v/>
      </c>
      <c r="P5" s="7">
        <f>SUM(K5:M5)/N5</f>
        <v/>
      </c>
    </row>
    <row r="6">
      <c r="A6" s="5" t="n">
        <v>2024</v>
      </c>
      <c r="B6" s="6" t="n">
        <v>263609897.85</v>
      </c>
      <c r="C6" s="6" t="n">
        <v>225837848.51</v>
      </c>
      <c r="D6" s="6" t="n">
        <v>167125292.76</v>
      </c>
      <c r="E6" s="6" t="n">
        <v>140041282.92</v>
      </c>
      <c r="F6" s="6" t="n">
        <v>224669391</v>
      </c>
      <c r="G6" s="6" t="n">
        <v>206451120.97</v>
      </c>
      <c r="H6" s="6" t="n">
        <v>537484963.7</v>
      </c>
      <c r="I6" s="6" t="n">
        <v>219147762.67</v>
      </c>
      <c r="J6" s="6" t="n">
        <v>213778511.29</v>
      </c>
      <c r="K6" s="6" t="n">
        <v>339436921.05</v>
      </c>
      <c r="L6" s="6" t="n">
        <v>292043473.43</v>
      </c>
      <c r="M6" s="6" t="n">
        <v>363081833.61</v>
      </c>
      <c r="N6" s="6">
        <f>SUM(B6:M6)</f>
        <v/>
      </c>
      <c r="O6" s="7">
        <f>SUM(B6:J6)/N6</f>
        <v/>
      </c>
      <c r="P6" s="7">
        <f>SUM(K6:M6)/N6</f>
        <v/>
      </c>
    </row>
    <row r="7">
      <c r="A7" s="5" t="n">
        <v>2025</v>
      </c>
      <c r="B7" s="6" t="n">
        <v>244629044.59</v>
      </c>
      <c r="C7" s="6" t="n">
        <v>199160331.37</v>
      </c>
      <c r="D7" s="6" t="n">
        <v>174627126.68</v>
      </c>
      <c r="E7" s="6" t="n">
        <v>140777046.53</v>
      </c>
      <c r="F7" s="6" t="n">
        <v>484593226.12</v>
      </c>
      <c r="G7" s="6" t="n">
        <v>174638216.96</v>
      </c>
      <c r="H7" s="6" t="n">
        <v>220552646.75</v>
      </c>
      <c r="I7" s="6" t="n">
        <v>178058904.15</v>
      </c>
      <c r="J7" s="6" t="n">
        <v>206613498.77</v>
      </c>
      <c r="K7" s="6" t="n">
        <v>201047125.39</v>
      </c>
      <c r="L7" s="6" t="n">
        <v>842726974.04</v>
      </c>
      <c r="M7" s="6" t="n">
        <v>242119497.64</v>
      </c>
      <c r="N7" s="6">
        <f>SUM(B7:M7)</f>
        <v/>
      </c>
      <c r="O7" s="7">
        <f>SUM(B7:J7)/N7</f>
        <v/>
      </c>
      <c r="P7" s="7">
        <f>SUM(K7:M7)/N7</f>
        <v/>
      </c>
    </row>
    <row r="8">
      <c r="A8" s="5" t="n">
        <v>2026</v>
      </c>
      <c r="B8" s="6" t="n">
        <v>229262544.24</v>
      </c>
      <c r="C8" s="6" t="n">
        <v>277622602.8</v>
      </c>
      <c r="D8" s="6" t="n">
        <v>166305951.68</v>
      </c>
      <c r="E8" s="6" t="n">
        <v>263289781.16</v>
      </c>
      <c r="F8" s="6" t="n">
        <v>251847021.46</v>
      </c>
      <c r="G8" s="6" t="n">
        <v>712125842.35</v>
      </c>
      <c r="H8" s="6" t="n">
        <v>271746820.91</v>
      </c>
      <c r="I8" s="6" t="n">
        <v>256930480.94</v>
      </c>
      <c r="J8" s="6" t="n">
        <v>244363872.65</v>
      </c>
      <c r="K8" s="6" t="n">
        <v>10145046.31</v>
      </c>
      <c r="L8" s="6" t="n"/>
      <c r="M8" s="6" t="n"/>
      <c r="N8" s="6">
        <f>SUM(B8:M8)</f>
        <v/>
      </c>
      <c r="O8" s="7" t="n"/>
      <c r="P8" s="7" t="n"/>
    </row>
    <row r="9"/>
    <row r="10" ht="42" customHeight="1">
      <c r="A10" s="4" t="inlineStr">
        <is>
          <t>حصة الشهر من السنة %</t>
        </is>
      </c>
      <c r="B10" s="4" t="inlineStr">
        <is>
          <t>يناير</t>
        </is>
      </c>
      <c r="C10" s="4" t="inlineStr">
        <is>
          <t>فبراير</t>
        </is>
      </c>
      <c r="D10" s="4" t="inlineStr">
        <is>
          <t>مارس</t>
        </is>
      </c>
      <c r="E10" s="4" t="inlineStr">
        <is>
          <t>أبريل</t>
        </is>
      </c>
      <c r="F10" s="4" t="inlineStr">
        <is>
          <t>مايو</t>
        </is>
      </c>
      <c r="G10" s="4" t="inlineStr">
        <is>
          <t>يونيو</t>
        </is>
      </c>
      <c r="H10" s="4" t="inlineStr">
        <is>
          <t>يوليو</t>
        </is>
      </c>
      <c r="I10" s="4" t="inlineStr">
        <is>
          <t>أغسطس</t>
        </is>
      </c>
      <c r="J10" s="4" t="inlineStr">
        <is>
          <t>سبتمبر</t>
        </is>
      </c>
      <c r="K10" s="4" t="inlineStr">
        <is>
          <t>أكتوبر</t>
        </is>
      </c>
      <c r="L10" s="4" t="inlineStr">
        <is>
          <t>نوفمبر</t>
        </is>
      </c>
      <c r="M10" s="4" t="inlineStr">
        <is>
          <t>ديسمبر</t>
        </is>
      </c>
    </row>
    <row r="11">
      <c r="A11" s="5" t="n">
        <v>2023</v>
      </c>
      <c r="B11" s="7">
        <f>B5/$N5</f>
        <v/>
      </c>
      <c r="C11" s="7">
        <f>C5/$N5</f>
        <v/>
      </c>
      <c r="D11" s="7">
        <f>D5/$N5</f>
        <v/>
      </c>
      <c r="E11" s="7">
        <f>E5/$N5</f>
        <v/>
      </c>
      <c r="F11" s="7">
        <f>F5/$N5</f>
        <v/>
      </c>
      <c r="G11" s="7">
        <f>G5/$N5</f>
        <v/>
      </c>
      <c r="H11" s="7">
        <f>H5/$N5</f>
        <v/>
      </c>
      <c r="I11" s="7">
        <f>I5/$N5</f>
        <v/>
      </c>
      <c r="J11" s="7">
        <f>J5/$N5</f>
        <v/>
      </c>
      <c r="K11" s="7">
        <f>K5/$N5</f>
        <v/>
      </c>
      <c r="L11" s="7">
        <f>L5/$N5</f>
        <v/>
      </c>
      <c r="M11" s="7">
        <f>M5/$N5</f>
        <v/>
      </c>
      <c r="N11" s="7" t="n"/>
      <c r="O11" s="7" t="n"/>
      <c r="P11" s="7" t="n"/>
    </row>
    <row r="12">
      <c r="A12" s="5" t="n">
        <v>2024</v>
      </c>
      <c r="B12" s="7">
        <f>B6/$N6</f>
        <v/>
      </c>
      <c r="C12" s="7">
        <f>C6/$N6</f>
        <v/>
      </c>
      <c r="D12" s="7">
        <f>D6/$N6</f>
        <v/>
      </c>
      <c r="E12" s="7">
        <f>E6/$N6</f>
        <v/>
      </c>
      <c r="F12" s="7">
        <f>F6/$N6</f>
        <v/>
      </c>
      <c r="G12" s="7">
        <f>G6/$N6</f>
        <v/>
      </c>
      <c r="H12" s="7">
        <f>H6/$N6</f>
        <v/>
      </c>
      <c r="I12" s="7">
        <f>I6/$N6</f>
        <v/>
      </c>
      <c r="J12" s="7">
        <f>J6/$N6</f>
        <v/>
      </c>
      <c r="K12" s="7">
        <f>K6/$N6</f>
        <v/>
      </c>
      <c r="L12" s="7">
        <f>L6/$N6</f>
        <v/>
      </c>
      <c r="M12" s="7">
        <f>M6/$N6</f>
        <v/>
      </c>
      <c r="N12" s="7" t="n"/>
      <c r="O12" s="7" t="n"/>
      <c r="P12" s="7" t="n"/>
    </row>
    <row r="13">
      <c r="A13" s="5" t="n">
        <v>2025</v>
      </c>
      <c r="B13" s="7">
        <f>B7/$N7</f>
        <v/>
      </c>
      <c r="C13" s="7">
        <f>C7/$N7</f>
        <v/>
      </c>
      <c r="D13" s="7">
        <f>D7/$N7</f>
        <v/>
      </c>
      <c r="E13" s="7">
        <f>E7/$N7</f>
        <v/>
      </c>
      <c r="F13" s="7">
        <f>F7/$N7</f>
        <v/>
      </c>
      <c r="G13" s="7">
        <f>G7/$N7</f>
        <v/>
      </c>
      <c r="H13" s="7">
        <f>H7/$N7</f>
        <v/>
      </c>
      <c r="I13" s="7">
        <f>I7/$N7</f>
        <v/>
      </c>
      <c r="J13" s="7">
        <f>J7/$N7</f>
        <v/>
      </c>
      <c r="K13" s="7">
        <f>K7/$N7</f>
        <v/>
      </c>
      <c r="L13" s="7">
        <f>L7/$N7</f>
        <v/>
      </c>
      <c r="M13" s="7">
        <f>M7/$N7</f>
        <v/>
      </c>
      <c r="N13" s="7" t="n"/>
      <c r="O13" s="7" t="n"/>
      <c r="P13" s="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49"/>
  <sheetViews>
    <sheetView rightToLeft="1"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16" customWidth="1" min="3" max="3"/>
    <col width="18" customWidth="1" min="4" max="4"/>
    <col width="16" customWidth="1" min="5" max="5"/>
    <col width="14" customWidth="1" min="6" max="6"/>
    <col width="16" customWidth="1" min="7" max="7"/>
    <col width="14" customWidth="1" min="8" max="8"/>
    <col width="16" customWidth="1" min="9" max="9"/>
    <col width="10" customWidth="1" min="10" max="10"/>
    <col width="14" customWidth="1" min="11" max="11"/>
    <col width="16" customWidth="1" min="12" max="12"/>
    <col width="16" customWidth="1" min="13" max="13"/>
    <col width="14" customWidth="1" min="14" max="14"/>
    <col width="16" customWidth="1" min="15" max="15"/>
    <col width="16" customWidth="1" min="16" max="16"/>
    <col width="16" customWidth="1" min="17" max="17"/>
    <col width="16" customWidth="1" min="18" max="18"/>
    <col width="16" customWidth="1" min="19" max="19"/>
    <col width="12" customWidth="1" min="20" max="20"/>
    <col width="16" customWidth="1" min="21" max="21"/>
  </cols>
  <sheetData>
    <row r="1">
      <c r="A1" s="1" t="inlineStr">
        <is>
          <t>توقع إقفال 2026 (محصّل) بعد اعتماد إجمالي يناير–أكتوبر من ملف المراقبة</t>
        </is>
      </c>
    </row>
    <row r="2" ht="70" customHeight="1">
      <c r="A2" s="12" t="inlineStr">
        <is>
          <t>المحصل الفعلي يناير–أكتوبر 2026 = ورقة "الإجمالي" في ملف المراقبة (قبل الاستقطاع = بعد الاستقطاع + التوريد + المستقطع)، وأكتوبر جزئي حتى تاريخ الملف. الإقفال الأساسي = الفعلي + المتبقي من أكتوبر + نوفمبر وديسمبر؛ المتبقي من أكتوبر = المتوسط الموسمي لأكتوبر × معامل الاتجاه − المحصل حتى تاريخه (لا يقل عن صفر)؛ نوفمبر وديسمبر = وسيط 2023–2025 × معامل الاتجاه. السيناريو الأسوأ: أدنى قيمة تاريخية بدل الوسيط × (الاتجاه بحد أقصى 1). الحسابات التي في ملف المراقبة فقط ولا تاريخ لها في الملف الشهري (1431 و1422104 و1422112 و1422199 و1422202) تُبقى على الفعلي بدون إضافة. بنود التوريد (شيك/تحويل/تنفيذ) داخلة في الفعلي لكن لا تُتوقع للأشهر المتبقية لأنها غير منتظمة، فهي خطر صعودي.</t>
        </is>
      </c>
    </row>
    <row r="3">
      <c r="A3" s="2" t="inlineStr">
        <is>
          <t>الملخص:</t>
        </is>
      </c>
      <c r="C3" s="13" t="inlineStr">
        <is>
          <t>الفعلي يناير–أكتوبر (المراقبة)</t>
        </is>
      </c>
      <c r="D3" s="14">
        <f>D49</f>
        <v/>
      </c>
      <c r="E3" s="13" t="inlineStr">
        <is>
          <t>إقفال 2026 – أساسي</t>
        </is>
      </c>
      <c r="F3" s="14">
        <f>M49</f>
        <v/>
      </c>
      <c r="G3" s="13" t="inlineStr">
        <is>
          <t>إقفال 2026 – أسوأ</t>
        </is>
      </c>
      <c r="H3" s="14">
        <f>P49</f>
        <v/>
      </c>
      <c r="I3" s="13" t="inlineStr">
        <is>
          <t>المقدر 2026 (المراقبة)</t>
        </is>
      </c>
      <c r="J3" s="14">
        <f>Q49</f>
        <v/>
      </c>
      <c r="K3" s="13" t="inlineStr">
        <is>
          <t>المستهدف 2026</t>
        </is>
      </c>
      <c r="L3" s="14">
        <f>R49</f>
        <v/>
      </c>
    </row>
    <row r="5" ht="42" customHeight="1">
      <c r="A5" s="4" t="inlineStr">
        <is>
          <t>رقم الحساب</t>
        </is>
      </c>
      <c r="B5" s="4" t="inlineStr">
        <is>
          <t>اسم الحساب</t>
        </is>
      </c>
      <c r="C5" s="4" t="inlineStr">
        <is>
          <t>التبويب</t>
        </is>
      </c>
      <c r="D5" s="4" t="inlineStr">
        <is>
          <t>الفعلي يناير–أكتوبر (المراقبة)</t>
        </is>
      </c>
      <c r="E5" s="4" t="inlineStr">
        <is>
          <t>منه: أكتوبر حتى تاريخه</t>
        </is>
      </c>
      <c r="F5" s="4" t="inlineStr">
        <is>
          <t>وسيط أكتوبر 2023–2025</t>
        </is>
      </c>
      <c r="G5" s="4" t="inlineStr">
        <is>
          <t>وسيط نوفمبر+ديسمبر 2023–2025</t>
        </is>
      </c>
      <c r="H5" s="4" t="inlineStr">
        <is>
          <t>أدنى أكتوبر</t>
        </is>
      </c>
      <c r="I5" s="4" t="inlineStr">
        <is>
          <t>أدنى نوفمبر+ديسمبر</t>
        </is>
      </c>
      <c r="J5" s="4" t="inlineStr">
        <is>
          <t>معامل الاتجاه</t>
        </is>
      </c>
      <c r="K5" s="4" t="inlineStr">
        <is>
          <t>متبقي أكتوبر – أساسي</t>
        </is>
      </c>
      <c r="L5" s="4" t="inlineStr">
        <is>
          <t>نوفمبر+ديسمبر – أساسي</t>
        </is>
      </c>
      <c r="M5" s="4" t="inlineStr">
        <is>
          <t>إقفال 2026 – أساسي</t>
        </is>
      </c>
      <c r="N5" s="4" t="inlineStr">
        <is>
          <t>متبقي أكتوبر – أسوأ</t>
        </is>
      </c>
      <c r="O5" s="4" t="inlineStr">
        <is>
          <t>نوفمبر+ديسمبر – أسوأ</t>
        </is>
      </c>
      <c r="P5" s="4" t="inlineStr">
        <is>
          <t>إقفال 2026 – أسوأ</t>
        </is>
      </c>
      <c r="Q5" s="4" t="inlineStr">
        <is>
          <t>المقدر 2026 (المراقبة)</t>
        </is>
      </c>
      <c r="R5" s="4" t="inlineStr">
        <is>
          <t>المستهدف 2026 (المراقبة)</t>
        </is>
      </c>
      <c r="S5" s="4" t="inlineStr">
        <is>
          <t>الأساسي − المقدر</t>
        </is>
      </c>
      <c r="T5" s="4" t="inlineStr">
        <is>
          <t>الأساسي ÷ المستهدف</t>
        </is>
      </c>
      <c r="U5" s="4" t="inlineStr">
        <is>
          <t>مصدر الفعلي</t>
        </is>
      </c>
    </row>
    <row r="6">
      <c r="A6" s="5" t="inlineStr">
        <is>
          <t>14155</t>
        </is>
      </c>
      <c r="B6" s="5" t="inlineStr">
        <is>
          <t>ريع الأراضي (تأجير الأراض )</t>
        </is>
      </c>
      <c r="C6" s="5" t="inlineStr">
        <is>
          <t>إيرادات إستثمارية</t>
        </is>
      </c>
      <c r="D6" s="6" t="n">
        <v>644487164.65</v>
      </c>
      <c r="E6" s="6" t="n">
        <v>32158747.69</v>
      </c>
      <c r="F6" s="6" t="n">
        <v>109860078.01</v>
      </c>
      <c r="G6" s="6" t="n">
        <v>160048702.24</v>
      </c>
      <c r="H6" s="6" t="n">
        <v>44284437.89</v>
      </c>
      <c r="I6" s="6" t="n">
        <v>119047370.87</v>
      </c>
      <c r="J6" s="15">
        <f>IFERROR(VLOOKUP(A6,'توقع المحصل الموسمي'!$A$6:$J$43,10,FALSE),1)</f>
        <v/>
      </c>
      <c r="K6" s="6">
        <f>MAX(0,F6*J6-E6)</f>
        <v/>
      </c>
      <c r="L6" s="6">
        <f>G6*J6</f>
        <v/>
      </c>
      <c r="M6" s="6">
        <f>D6+K6+L6</f>
        <v/>
      </c>
      <c r="N6" s="6">
        <f>MAX(0,H6*MIN(J6,1)-E6)</f>
        <v/>
      </c>
      <c r="O6" s="6">
        <f>I6*MIN(J6,1)</f>
        <v/>
      </c>
      <c r="P6" s="6">
        <f>D6+N6+O6</f>
        <v/>
      </c>
      <c r="Q6" s="6" t="n">
        <v>704204539.7299998</v>
      </c>
      <c r="R6" s="6" t="n">
        <v>736893407.9179136</v>
      </c>
      <c r="S6" s="6">
        <f>M6-Q6</f>
        <v/>
      </c>
      <c r="T6" s="7">
        <f>IF(R6=0,"",M6/R6)</f>
        <v/>
      </c>
      <c r="U6" s="5" t="inlineStr">
        <is>
          <t>ملف المراقبة</t>
        </is>
      </c>
    </row>
    <row r="7">
      <c r="A7" s="5" t="inlineStr">
        <is>
          <t>142162</t>
        </is>
      </c>
      <c r="B7" s="5" t="inlineStr">
        <is>
          <t>إيرادات  تأجير المرافق</t>
        </is>
      </c>
      <c r="C7" s="5" t="inlineStr">
        <is>
          <t>إيرادات إستثمارية</t>
        </is>
      </c>
      <c r="D7" s="6" t="n">
        <v>428714993.46</v>
      </c>
      <c r="E7" s="6" t="n">
        <v>322955.69</v>
      </c>
      <c r="F7" s="6" t="n">
        <v>524480.25</v>
      </c>
      <c r="G7" s="6" t="n">
        <v>32068051.86</v>
      </c>
      <c r="H7" s="6" t="n">
        <v>164700</v>
      </c>
      <c r="I7" s="6" t="n">
        <v>157950</v>
      </c>
      <c r="J7" s="15">
        <f>IFERROR(VLOOKUP(A7,'توقع المحصل الموسمي'!$A$6:$J$43,10,FALSE),1)</f>
        <v/>
      </c>
      <c r="K7" s="6">
        <f>MAX(0,F7*J7-E7)</f>
        <v/>
      </c>
      <c r="L7" s="6">
        <f>G7*J7</f>
        <v/>
      </c>
      <c r="M7" s="6">
        <f>D7+K7+L7</f>
        <v/>
      </c>
      <c r="N7" s="6">
        <f>MAX(0,H7*MIN(J7,1)-E7)</f>
        <v/>
      </c>
      <c r="O7" s="6">
        <f>I7*MIN(J7,1)</f>
        <v/>
      </c>
      <c r="P7" s="6">
        <f>D7+N7+O7</f>
        <v/>
      </c>
      <c r="Q7" s="6" t="n">
        <v>502882772.0000001</v>
      </c>
      <c r="R7" s="6" t="n">
        <v>1003276063.144015</v>
      </c>
      <c r="S7" s="6">
        <f>M7-Q7</f>
        <v/>
      </c>
      <c r="T7" s="7">
        <f>IF(R7=0,"",M7/R7)</f>
        <v/>
      </c>
      <c r="U7" s="5" t="inlineStr">
        <is>
          <t>ملف المراقبة</t>
        </is>
      </c>
    </row>
    <row r="8">
      <c r="A8" s="5" t="inlineStr">
        <is>
          <t>1438001</t>
        </is>
      </c>
      <c r="B8" s="5" t="inlineStr">
        <is>
          <t>جزاءات و غرامات مفروضة بموجب أنظمة الجهة</t>
        </is>
      </c>
      <c r="C8" s="5" t="inlineStr">
        <is>
          <t>جزاءات وغرامات</t>
        </is>
      </c>
      <c r="D8" s="6" t="n">
        <v>389696651.05</v>
      </c>
      <c r="E8" s="6" t="n">
        <v>33304429</v>
      </c>
      <c r="F8" s="6" t="n">
        <v>29549276.1</v>
      </c>
      <c r="G8" s="6" t="n">
        <v>56267310.75</v>
      </c>
      <c r="H8" s="6" t="n">
        <v>16531182.77</v>
      </c>
      <c r="I8" s="6" t="n">
        <v>48603924.57</v>
      </c>
      <c r="J8" s="15">
        <f>IFERROR(VLOOKUP(A8,'توقع المحصل الموسمي'!$A$6:$J$43,10,FALSE),1)</f>
        <v/>
      </c>
      <c r="K8" s="6">
        <f>MAX(0,F8*J8-E8)</f>
        <v/>
      </c>
      <c r="L8" s="6">
        <f>G8*J8</f>
        <v/>
      </c>
      <c r="M8" s="6">
        <f>D8+K8+L8</f>
        <v/>
      </c>
      <c r="N8" s="6">
        <f>MAX(0,H8*MIN(J8,1)-E8)</f>
        <v/>
      </c>
      <c r="O8" s="6">
        <f>I8*MIN(J8,1)</f>
        <v/>
      </c>
      <c r="P8" s="6">
        <f>D8+N8+O8</f>
        <v/>
      </c>
      <c r="Q8" s="6" t="n">
        <v>417587219.58</v>
      </c>
      <c r="R8" s="6" t="n">
        <v>441463735.5552299</v>
      </c>
      <c r="S8" s="6">
        <f>M8-Q8</f>
        <v/>
      </c>
      <c r="T8" s="7">
        <f>IF(R8=0,"",M8/R8)</f>
        <v/>
      </c>
      <c r="U8" s="5" t="inlineStr">
        <is>
          <t>ملف المراقبة</t>
        </is>
      </c>
    </row>
    <row r="9">
      <c r="A9" s="5" t="inlineStr">
        <is>
          <t>11452104</t>
        </is>
      </c>
      <c r="B9" s="5" t="inlineStr">
        <is>
          <t>إصدار رخص الأنشطة التجارية</t>
        </is>
      </c>
      <c r="C9" s="5" t="inlineStr">
        <is>
          <t>الرسوم والتراخيص</t>
        </is>
      </c>
      <c r="D9" s="6" t="n">
        <v>260435884.99</v>
      </c>
      <c r="E9" s="6" t="n">
        <v>13834961.34</v>
      </c>
      <c r="F9" s="6" t="n">
        <v>25241852.69</v>
      </c>
      <c r="G9" s="6" t="n">
        <v>46330431.63</v>
      </c>
      <c r="H9" s="6" t="n">
        <v>23888796.32</v>
      </c>
      <c r="I9" s="6" t="n">
        <v>45491327.88</v>
      </c>
      <c r="J9" s="15">
        <f>IFERROR(VLOOKUP(A9,'توقع المحصل الموسمي'!$A$6:$J$43,10,FALSE),1)</f>
        <v/>
      </c>
      <c r="K9" s="6">
        <f>MAX(0,F9*J9-E9)</f>
        <v/>
      </c>
      <c r="L9" s="6">
        <f>G9*J9</f>
        <v/>
      </c>
      <c r="M9" s="6">
        <f>D9+K9+L9</f>
        <v/>
      </c>
      <c r="N9" s="6">
        <f>MAX(0,H9*MIN(J9,1)-E9)</f>
        <v/>
      </c>
      <c r="O9" s="6">
        <f>I9*MIN(J9,1)</f>
        <v/>
      </c>
      <c r="P9" s="6">
        <f>D9+N9+O9</f>
        <v/>
      </c>
      <c r="Q9" s="6" t="n">
        <v>284731166.07</v>
      </c>
      <c r="R9" s="6" t="n">
        <v>315914658.8484679</v>
      </c>
      <c r="S9" s="6">
        <f>M9-Q9</f>
        <v/>
      </c>
      <c r="T9" s="7">
        <f>IF(R9=0,"",M9/R9)</f>
        <v/>
      </c>
      <c r="U9" s="5" t="inlineStr">
        <is>
          <t>ملف المراقبة</t>
        </is>
      </c>
    </row>
    <row r="10">
      <c r="A10" s="5" t="inlineStr">
        <is>
          <t>11452103</t>
        </is>
      </c>
      <c r="B10" s="5" t="inlineStr">
        <is>
          <t>ايراد اصدار تراخيص المباني والاسوار - أمانة منطقة الرياض</t>
        </is>
      </c>
      <c r="C10" s="5" t="inlineStr">
        <is>
          <t>الرسوم والتراخيص</t>
        </is>
      </c>
      <c r="D10" s="6" t="n">
        <v>213758689.52</v>
      </c>
      <c r="E10" s="6" t="n">
        <v>10111052.72</v>
      </c>
      <c r="F10" s="6" t="n">
        <v>23653967.06</v>
      </c>
      <c r="G10" s="6" t="n">
        <v>49304101.84</v>
      </c>
      <c r="H10" s="6" t="n">
        <v>18226070.37</v>
      </c>
      <c r="I10" s="6" t="n">
        <v>37923630.92</v>
      </c>
      <c r="J10" s="15">
        <f>IFERROR(VLOOKUP(A10,'توقع المحصل الموسمي'!$A$6:$J$43,10,FALSE),1)</f>
        <v/>
      </c>
      <c r="K10" s="6">
        <f>MAX(0,F10*J10-E10)</f>
        <v/>
      </c>
      <c r="L10" s="6">
        <f>G10*J10</f>
        <v/>
      </c>
      <c r="M10" s="6">
        <f>D10+K10+L10</f>
        <v/>
      </c>
      <c r="N10" s="6">
        <f>MAX(0,H10*MIN(J10,1)-E10)</f>
        <v/>
      </c>
      <c r="O10" s="6">
        <f>I10*MIN(J10,1)</f>
        <v/>
      </c>
      <c r="P10" s="6">
        <f>D10+N10+O10</f>
        <v/>
      </c>
      <c r="Q10" s="6" t="n">
        <v>296614997.78</v>
      </c>
      <c r="R10" s="6" t="n">
        <v>317404423.9819266</v>
      </c>
      <c r="S10" s="6">
        <f>M10-Q10</f>
        <v/>
      </c>
      <c r="T10" s="7">
        <f>IF(R10=0,"",M10/R10)</f>
        <v/>
      </c>
      <c r="U10" s="5" t="inlineStr">
        <is>
          <t>ملف المراقبة</t>
        </is>
      </c>
    </row>
    <row r="11">
      <c r="A11" s="5" t="inlineStr">
        <is>
          <t>11452512</t>
        </is>
      </c>
      <c r="B11" s="5" t="inlineStr">
        <is>
          <t>ايرادات لوحات المحلات</t>
        </is>
      </c>
      <c r="C11" s="5" t="inlineStr">
        <is>
          <t>الرسوم والتراخيص</t>
        </is>
      </c>
      <c r="D11" s="6" t="n">
        <v>184508812.29</v>
      </c>
      <c r="E11" s="6" t="n">
        <v>10443752.94</v>
      </c>
      <c r="F11" s="6" t="n">
        <v>20956485</v>
      </c>
      <c r="G11" s="6" t="n">
        <v>38398095</v>
      </c>
      <c r="H11" s="6" t="n">
        <v>17387315.02</v>
      </c>
      <c r="I11" s="6" t="n">
        <v>33977960.96</v>
      </c>
      <c r="J11" s="15">
        <f>IFERROR(VLOOKUP(A11,'توقع المحصل الموسمي'!$A$6:$J$43,10,FALSE),1)</f>
        <v/>
      </c>
      <c r="K11" s="6">
        <f>MAX(0,F11*J11-E11)</f>
        <v/>
      </c>
      <c r="L11" s="6">
        <f>G11*J11</f>
        <v/>
      </c>
      <c r="M11" s="6">
        <f>D11+K11+L11</f>
        <v/>
      </c>
      <c r="N11" s="6">
        <f>MAX(0,H11*MIN(J11,1)-E11)</f>
        <v/>
      </c>
      <c r="O11" s="6">
        <f>I11*MIN(J11,1)</f>
        <v/>
      </c>
      <c r="P11" s="6">
        <f>D11+N11+O11</f>
        <v/>
      </c>
      <c r="Q11" s="6" t="n">
        <v>247656264.1</v>
      </c>
      <c r="R11" s="6" t="n">
        <v>248231484.51</v>
      </c>
      <c r="S11" s="6">
        <f>M11-Q11</f>
        <v/>
      </c>
      <c r="T11" s="7">
        <f>IF(R11=0,"",M11/R11)</f>
        <v/>
      </c>
      <c r="U11" s="5" t="inlineStr">
        <is>
          <t>ملف المراقبة</t>
        </is>
      </c>
    </row>
    <row r="12">
      <c r="A12" s="5" t="inlineStr">
        <is>
          <t>1439</t>
        </is>
      </c>
      <c r="B12" s="5" t="inlineStr">
        <is>
          <t>ايرادات  مبيعات  ناتجه من النشاط غير مصنفة</t>
        </is>
      </c>
      <c r="C12" s="5" t="inlineStr">
        <is>
          <t>جزاءات وغرامات</t>
        </is>
      </c>
      <c r="D12" s="6" t="n">
        <v>179433194.45</v>
      </c>
      <c r="E12" s="6" t="n">
        <v>0</v>
      </c>
      <c r="F12" s="6" t="n">
        <v>0</v>
      </c>
      <c r="G12" s="6" t="n">
        <v>144348</v>
      </c>
      <c r="H12" s="6" t="n">
        <v>0</v>
      </c>
      <c r="I12" s="6" t="n">
        <v>14000</v>
      </c>
      <c r="J12" s="15">
        <f>IFERROR(VLOOKUP(A12,'توقع المحصل الموسمي'!$A$6:$J$43,10,FALSE),1)</f>
        <v/>
      </c>
      <c r="K12" s="6">
        <f>MAX(0,F12*J12-E12)</f>
        <v/>
      </c>
      <c r="L12" s="6">
        <f>G12*J12</f>
        <v/>
      </c>
      <c r="M12" s="6">
        <f>D12+K12+L12</f>
        <v/>
      </c>
      <c r="N12" s="6">
        <f>MAX(0,H12*MIN(J12,1)-E12)</f>
        <v/>
      </c>
      <c r="O12" s="6">
        <f>I12*MIN(J12,1)</f>
        <v/>
      </c>
      <c r="P12" s="6">
        <f>D12+N12+O12</f>
        <v/>
      </c>
      <c r="Q12" s="6" t="n">
        <v>1036092.05</v>
      </c>
      <c r="R12" s="6" t="n">
        <v>30036092.05</v>
      </c>
      <c r="S12" s="6">
        <f>M12-Q12</f>
        <v/>
      </c>
      <c r="T12" s="7">
        <f>IF(R12=0,"",M12/R12)</f>
        <v/>
      </c>
      <c r="U12" s="5" t="inlineStr">
        <is>
          <t>ملف المراقبة</t>
        </is>
      </c>
    </row>
    <row r="13">
      <c r="A13" s="5" t="inlineStr">
        <is>
          <t>11442</t>
        </is>
      </c>
      <c r="B13" s="5" t="inlineStr">
        <is>
          <t>اشغال مرافق الايواء</t>
        </is>
      </c>
      <c r="C13" s="5" t="inlineStr">
        <is>
          <t>التبغ والإيواء</t>
        </is>
      </c>
      <c r="D13" s="6" t="n">
        <v>151739989.39</v>
      </c>
      <c r="E13" s="6" t="n">
        <v>13283777.98</v>
      </c>
      <c r="F13" s="6" t="n">
        <v>20391349.29</v>
      </c>
      <c r="G13" s="6" t="n">
        <v>46546170.44</v>
      </c>
      <c r="H13" s="6" t="n">
        <v>13914304.96</v>
      </c>
      <c r="I13" s="6" t="n">
        <v>43388147.07</v>
      </c>
      <c r="J13" s="15">
        <f>IFERROR(VLOOKUP(A13,'توقع المحصل الموسمي'!$A$6:$J$43,10,FALSE),1)</f>
        <v/>
      </c>
      <c r="K13" s="6">
        <f>MAX(0,F13*J13-E13)</f>
        <v/>
      </c>
      <c r="L13" s="6">
        <f>G13*J13</f>
        <v/>
      </c>
      <c r="M13" s="6">
        <f>D13+K13+L13</f>
        <v/>
      </c>
      <c r="N13" s="6">
        <f>MAX(0,H13*MIN(J13,1)-E13)</f>
        <v/>
      </c>
      <c r="O13" s="6">
        <f>I13*MIN(J13,1)</f>
        <v/>
      </c>
      <c r="P13" s="6">
        <f>D13+N13+O13</f>
        <v/>
      </c>
      <c r="Q13" s="6" t="n">
        <v>265010811.65</v>
      </c>
      <c r="R13" s="6" t="n">
        <v>288111986.9440953</v>
      </c>
      <c r="S13" s="6">
        <f>M13-Q13</f>
        <v/>
      </c>
      <c r="T13" s="7">
        <f>IF(R13=0,"",M13/R13)</f>
        <v/>
      </c>
      <c r="U13" s="5" t="inlineStr">
        <is>
          <t>ملف المراقبة</t>
        </is>
      </c>
    </row>
    <row r="14">
      <c r="A14" s="5" t="inlineStr">
        <is>
          <t>1421999</t>
        </is>
      </c>
      <c r="B14" s="5" t="inlineStr">
        <is>
          <t>مبيعات أخرى</t>
        </is>
      </c>
      <c r="C14" s="5" t="inlineStr">
        <is>
          <t>أخرى</t>
        </is>
      </c>
      <c r="D14" s="6" t="n">
        <v>137544463.2</v>
      </c>
      <c r="E14" s="6" t="n">
        <v>7217587.27</v>
      </c>
      <c r="F14" s="6" t="n">
        <v>8305349.75</v>
      </c>
      <c r="G14" s="6" t="n">
        <v>8433487.07</v>
      </c>
      <c r="H14" s="6" t="n">
        <v>2826014.45</v>
      </c>
      <c r="I14" s="6" t="n">
        <v>2496362.45</v>
      </c>
      <c r="J14" s="15">
        <f>IFERROR(VLOOKUP(A14,'توقع المحصل الموسمي'!$A$6:$J$43,10,FALSE),1)</f>
        <v/>
      </c>
      <c r="K14" s="6">
        <f>MAX(0,F14*J14-E14)</f>
        <v/>
      </c>
      <c r="L14" s="6">
        <f>G14*J14</f>
        <v/>
      </c>
      <c r="M14" s="6">
        <f>D14+K14+L14</f>
        <v/>
      </c>
      <c r="N14" s="6">
        <f>MAX(0,H14*MIN(J14,1)-E14)</f>
        <v/>
      </c>
      <c r="O14" s="6">
        <f>I14*MIN(J14,1)</f>
        <v/>
      </c>
      <c r="P14" s="6">
        <f>D14+N14+O14</f>
        <v/>
      </c>
      <c r="Q14" s="6" t="n">
        <v>92115826.69999999</v>
      </c>
      <c r="R14" s="6" t="n">
        <v>93151323.34705561</v>
      </c>
      <c r="S14" s="6">
        <f>M14-Q14</f>
        <v/>
      </c>
      <c r="T14" s="7">
        <f>IF(R14=0,"",M14/R14)</f>
        <v/>
      </c>
      <c r="U14" s="5" t="inlineStr">
        <is>
          <t>ملف المراقبة</t>
        </is>
      </c>
    </row>
    <row r="15">
      <c r="A15" s="5" t="inlineStr">
        <is>
          <t>142113</t>
        </is>
      </c>
      <c r="B15" s="5" t="inlineStr">
        <is>
          <t>ايرادات  اللوحات الدعائية</t>
        </is>
      </c>
      <c r="C15" s="5" t="inlineStr">
        <is>
          <t>الرسوم والتراخيص</t>
        </is>
      </c>
      <c r="D15" s="6" t="n">
        <v>125120390.68</v>
      </c>
      <c r="E15" s="6" t="n">
        <v>2451891.69</v>
      </c>
      <c r="F15" s="6" t="n">
        <v>10807518.59</v>
      </c>
      <c r="G15" s="6" t="n">
        <v>21718150.74</v>
      </c>
      <c r="H15" s="6" t="n">
        <v>5813099.79</v>
      </c>
      <c r="I15" s="6" t="n">
        <v>12586221.36</v>
      </c>
      <c r="J15" s="15">
        <f>IFERROR(VLOOKUP(A15,'توقع المحصل الموسمي'!$A$6:$J$43,10,FALSE),1)</f>
        <v/>
      </c>
      <c r="K15" s="6">
        <f>MAX(0,F15*J15-E15)</f>
        <v/>
      </c>
      <c r="L15" s="6">
        <f>G15*J15</f>
        <v/>
      </c>
      <c r="M15" s="6">
        <f>D15+K15+L15</f>
        <v/>
      </c>
      <c r="N15" s="6">
        <f>MAX(0,H15*MIN(J15,1)-E15)</f>
        <v/>
      </c>
      <c r="O15" s="6">
        <f>I15*MIN(J15,1)</f>
        <v/>
      </c>
      <c r="P15" s="6">
        <f>D15+N15+O15</f>
        <v/>
      </c>
      <c r="Q15" s="6" t="n">
        <v>88762340.61999997</v>
      </c>
      <c r="R15" s="6" t="n">
        <v>90076239.38854954</v>
      </c>
      <c r="S15" s="6">
        <f>M15-Q15</f>
        <v/>
      </c>
      <c r="T15" s="7">
        <f>IF(R15=0,"",M15/R15)</f>
        <v/>
      </c>
      <c r="U15" s="5" t="inlineStr">
        <is>
          <t>ملف المراقبة</t>
        </is>
      </c>
    </row>
    <row r="16">
      <c r="A16" s="5" t="inlineStr">
        <is>
          <t>1431</t>
        </is>
      </c>
      <c r="B16" s="5" t="inlineStr">
        <is>
          <t>الجزاءات والغرامات</t>
        </is>
      </c>
      <c r="C16" s="5" t="inlineStr">
        <is>
          <t>جزاءات وغرامات</t>
        </is>
      </c>
      <c r="D16" s="6" t="n">
        <v>103169485.22</v>
      </c>
      <c r="E16" s="6" t="n">
        <v>0</v>
      </c>
      <c r="F16" s="6" t="n">
        <v>0</v>
      </c>
      <c r="G16" s="6" t="n">
        <v>0</v>
      </c>
      <c r="H16" s="6" t="n">
        <v>0</v>
      </c>
      <c r="I16" s="6" t="n">
        <v>0</v>
      </c>
      <c r="J16" s="15" t="n">
        <v>0</v>
      </c>
      <c r="K16" s="6" t="n">
        <v>0</v>
      </c>
      <c r="L16" s="6" t="n">
        <v>0</v>
      </c>
      <c r="M16" s="6">
        <f>D16+K16+L16</f>
        <v/>
      </c>
      <c r="N16" s="6" t="n">
        <v>0</v>
      </c>
      <c r="O16" s="6" t="n">
        <v>0</v>
      </c>
      <c r="P16" s="6">
        <f>D16+N16+O16</f>
        <v/>
      </c>
      <c r="Q16" s="6" t="n">
        <v>36003284</v>
      </c>
      <c r="R16" s="6" t="n">
        <v>90003284</v>
      </c>
      <c r="S16" s="6">
        <f>M16-Q16</f>
        <v/>
      </c>
      <c r="T16" s="7">
        <f>IF(R16=0,"",M16/R16)</f>
        <v/>
      </c>
      <c r="U16" s="5" t="inlineStr">
        <is>
          <t>ملف المراقبة</t>
        </is>
      </c>
    </row>
    <row r="17">
      <c r="A17" s="5" t="inlineStr">
        <is>
          <t>1421909</t>
        </is>
      </c>
      <c r="B17" s="5" t="inlineStr">
        <is>
          <t>جمع النفايات</t>
        </is>
      </c>
      <c r="C17" s="5" t="inlineStr">
        <is>
          <t>الرسوم والتراخيص</t>
        </is>
      </c>
      <c r="D17" s="6" t="n">
        <v>76152734.44</v>
      </c>
      <c r="E17" s="6" t="n">
        <v>3922507.01</v>
      </c>
      <c r="F17" s="6" t="n">
        <v>6932993.61</v>
      </c>
      <c r="G17" s="6" t="n">
        <v>13872695.64</v>
      </c>
      <c r="H17" s="6" t="n">
        <v>6611666.54</v>
      </c>
      <c r="I17" s="6" t="n">
        <v>11918092.48</v>
      </c>
      <c r="J17" s="15">
        <f>IFERROR(VLOOKUP(A17,'توقع المحصل الموسمي'!$A$6:$J$43,10,FALSE),1)</f>
        <v/>
      </c>
      <c r="K17" s="6">
        <f>MAX(0,F17*J17-E17)</f>
        <v/>
      </c>
      <c r="L17" s="6">
        <f>G17*J17</f>
        <v/>
      </c>
      <c r="M17" s="6">
        <f>D17+K17+L17</f>
        <v/>
      </c>
      <c r="N17" s="6">
        <f>MAX(0,H17*MIN(J17,1)-E17)</f>
        <v/>
      </c>
      <c r="O17" s="6">
        <f>I17*MIN(J17,1)</f>
        <v/>
      </c>
      <c r="P17" s="6">
        <f>D17+N17+O17</f>
        <v/>
      </c>
      <c r="Q17" s="6" t="n">
        <v>86507432.33999999</v>
      </c>
      <c r="R17" s="6" t="n">
        <v>97842756.86908785</v>
      </c>
      <c r="S17" s="6">
        <f>M17-Q17</f>
        <v/>
      </c>
      <c r="T17" s="7">
        <f>IF(R17=0,"",M17/R17)</f>
        <v/>
      </c>
      <c r="U17" s="5" t="inlineStr">
        <is>
          <t>ملف المراقبة</t>
        </is>
      </c>
    </row>
    <row r="18">
      <c r="A18" s="5" t="inlineStr">
        <is>
          <t>1421911</t>
        </is>
      </c>
      <c r="B18" s="5" t="inlineStr">
        <is>
          <t>رسم مبيعات محلات تقديم منتجات التبغ</t>
        </is>
      </c>
      <c r="C18" s="5" t="inlineStr">
        <is>
          <t>التبغ والإيواء</t>
        </is>
      </c>
      <c r="D18" s="6" t="n">
        <v>60524211.88</v>
      </c>
      <c r="E18" s="6" t="n">
        <v>3739768.97</v>
      </c>
      <c r="F18" s="6" t="n">
        <v>6619764.26</v>
      </c>
      <c r="G18" s="6" t="n">
        <v>13360044.69</v>
      </c>
      <c r="H18" s="6" t="n">
        <v>4881210.37</v>
      </c>
      <c r="I18" s="6" t="n">
        <v>10535371.99</v>
      </c>
      <c r="J18" s="15">
        <f>IFERROR(VLOOKUP(A18,'توقع المحصل الموسمي'!$A$6:$J$43,10,FALSE),1)</f>
        <v/>
      </c>
      <c r="K18" s="6">
        <f>MAX(0,F18*J18-E18)</f>
        <v/>
      </c>
      <c r="L18" s="6">
        <f>G18*J18</f>
        <v/>
      </c>
      <c r="M18" s="6">
        <f>D18+K18+L18</f>
        <v/>
      </c>
      <c r="N18" s="6">
        <f>MAX(0,H18*MIN(J18,1)-E18)</f>
        <v/>
      </c>
      <c r="O18" s="6">
        <f>I18*MIN(J18,1)</f>
        <v/>
      </c>
      <c r="P18" s="6">
        <f>D18+N18+O18</f>
        <v/>
      </c>
      <c r="Q18" s="6" t="n">
        <v>86279560.64999999</v>
      </c>
      <c r="R18" s="6" t="n">
        <v>91313321.92602974</v>
      </c>
      <c r="S18" s="6">
        <f>M18-Q18</f>
        <v/>
      </c>
      <c r="T18" s="7">
        <f>IF(R18=0,"",M18/R18)</f>
        <v/>
      </c>
      <c r="U18" s="5" t="inlineStr">
        <is>
          <t>ملف المراقبة</t>
        </is>
      </c>
    </row>
    <row r="19">
      <c r="A19" s="5" t="inlineStr">
        <is>
          <t>144122</t>
        </is>
      </c>
      <c r="B19" s="5" t="inlineStr">
        <is>
          <t>إيرادات  متنوعه</t>
        </is>
      </c>
      <c r="C19" s="5" t="inlineStr">
        <is>
          <t>أخرى</t>
        </is>
      </c>
      <c r="D19" s="6" t="n">
        <v>55929677.95</v>
      </c>
      <c r="E19" s="6" t="n">
        <v>124953</v>
      </c>
      <c r="F19" s="6" t="n">
        <v>567745</v>
      </c>
      <c r="G19" s="6" t="n">
        <v>298480.96</v>
      </c>
      <c r="H19" s="6" t="n">
        <v>126070</v>
      </c>
      <c r="I19" s="6" t="n">
        <v>77489.08</v>
      </c>
      <c r="J19" s="15">
        <f>IFERROR(VLOOKUP(A19,'توقع المحصل الموسمي'!$A$6:$J$43,10,FALSE),1)</f>
        <v/>
      </c>
      <c r="K19" s="6">
        <f>MAX(0,F19*J19-E19)</f>
        <v/>
      </c>
      <c r="L19" s="6">
        <f>G19*J19</f>
        <v/>
      </c>
      <c r="M19" s="6">
        <f>D19+K19+L19</f>
        <v/>
      </c>
      <c r="N19" s="6">
        <f>MAX(0,H19*MIN(J19,1)-E19)</f>
        <v/>
      </c>
      <c r="O19" s="6">
        <f>I19*MIN(J19,1)</f>
        <v/>
      </c>
      <c r="P19" s="6">
        <f>D19+N19+O19</f>
        <v/>
      </c>
      <c r="Q19" s="6" t="n">
        <v>10895644.06</v>
      </c>
      <c r="R19" s="6" t="n">
        <v>5397642.999999999</v>
      </c>
      <c r="S19" s="6">
        <f>M19-Q19</f>
        <v/>
      </c>
      <c r="T19" s="7">
        <f>IF(R19=0,"",M19/R19)</f>
        <v/>
      </c>
      <c r="U19" s="5" t="inlineStr">
        <is>
          <t>ملف المراقبة</t>
        </is>
      </c>
    </row>
    <row r="20">
      <c r="A20" s="5" t="inlineStr">
        <is>
          <t>11452108</t>
        </is>
      </c>
      <c r="B20" s="5" t="inlineStr">
        <is>
          <t>ايراد اصدار القرارات المساحية - أمانة منطقة الرياض</t>
        </is>
      </c>
      <c r="C20" s="5" t="inlineStr">
        <is>
          <t>الرسوم والتراخيص</t>
        </is>
      </c>
      <c r="D20" s="6" t="n">
        <v>33095183.09</v>
      </c>
      <c r="E20" s="6" t="n">
        <v>2067255.85</v>
      </c>
      <c r="F20" s="6" t="n">
        <v>1896861.57</v>
      </c>
      <c r="G20" s="6" t="n">
        <v>3641834.48</v>
      </c>
      <c r="H20" s="6" t="n">
        <v>270939.62</v>
      </c>
      <c r="I20" s="6" t="n">
        <v>1684338.27</v>
      </c>
      <c r="J20" s="15">
        <f>IFERROR(VLOOKUP(A20,'توقع المحصل الموسمي'!$A$6:$J$43,10,FALSE),1)</f>
        <v/>
      </c>
      <c r="K20" s="6">
        <f>MAX(0,F20*J20-E20)</f>
        <v/>
      </c>
      <c r="L20" s="6">
        <f>G20*J20</f>
        <v/>
      </c>
      <c r="M20" s="6">
        <f>D20+K20+L20</f>
        <v/>
      </c>
      <c r="N20" s="6">
        <f>MAX(0,H20*MIN(J20,1)-E20)</f>
        <v/>
      </c>
      <c r="O20" s="6">
        <f>I20*MIN(J20,1)</f>
        <v/>
      </c>
      <c r="P20" s="6">
        <f>D20+N20+O20</f>
        <v/>
      </c>
      <c r="Q20" s="6" t="n">
        <v>17045890.37</v>
      </c>
      <c r="R20" s="6" t="n">
        <v>30799388.58652012</v>
      </c>
      <c r="S20" s="6">
        <f>M20-Q20</f>
        <v/>
      </c>
      <c r="T20" s="7">
        <f>IF(R20=0,"",M20/R20)</f>
        <v/>
      </c>
      <c r="U20" s="5" t="inlineStr">
        <is>
          <t>ملف المراقبة</t>
        </is>
      </c>
    </row>
    <row r="21">
      <c r="A21" s="5" t="inlineStr">
        <is>
          <t>1422108</t>
        </is>
      </c>
      <c r="B21" s="5" t="inlineStr">
        <is>
          <t>الشهادات الصحية</t>
        </is>
      </c>
      <c r="C21" s="5" t="inlineStr">
        <is>
          <t>الرسوم والتراخيص</t>
        </is>
      </c>
      <c r="D21" s="6" t="n">
        <v>20176446.1</v>
      </c>
      <c r="E21" s="6" t="n">
        <v>2567043.91</v>
      </c>
      <c r="F21" s="6" t="n">
        <v>2731752.84</v>
      </c>
      <c r="G21" s="6" t="n">
        <v>3731307.78</v>
      </c>
      <c r="H21" s="6" t="n">
        <v>1580920.2</v>
      </c>
      <c r="I21" s="6" t="n">
        <v>1866020</v>
      </c>
      <c r="J21" s="15">
        <f>IFERROR(VLOOKUP(A21,'توقع المحصل الموسمي'!$A$6:$J$43,10,FALSE),1)</f>
        <v/>
      </c>
      <c r="K21" s="6">
        <f>MAX(0,F21*J21-E21)</f>
        <v/>
      </c>
      <c r="L21" s="6">
        <f>G21*J21</f>
        <v/>
      </c>
      <c r="M21" s="6">
        <f>D21+K21+L21</f>
        <v/>
      </c>
      <c r="N21" s="6">
        <f>MAX(0,H21*MIN(J21,1)-E21)</f>
        <v/>
      </c>
      <c r="O21" s="6">
        <f>I21*MIN(J21,1)</f>
        <v/>
      </c>
      <c r="P21" s="6">
        <f>D21+N21+O21</f>
        <v/>
      </c>
      <c r="Q21" s="6" t="n">
        <v>20148582.53</v>
      </c>
      <c r="R21" s="6" t="n">
        <v>21121165.60478871</v>
      </c>
      <c r="S21" s="6">
        <f>M21-Q21</f>
        <v/>
      </c>
      <c r="T21" s="7">
        <f>IF(R21=0,"",M21/R21)</f>
        <v/>
      </c>
      <c r="U21" s="5" t="inlineStr">
        <is>
          <t>ملف المراقبة</t>
        </is>
      </c>
    </row>
    <row r="22">
      <c r="A22" s="5" t="inlineStr">
        <is>
          <t>1422121</t>
        </is>
      </c>
      <c r="B22" s="5" t="inlineStr">
        <is>
          <t>رسم ترخيص نشاط تقديم منتجات التبغ</t>
        </is>
      </c>
      <c r="C22" s="5" t="inlineStr">
        <is>
          <t>التبغ والإيواء</t>
        </is>
      </c>
      <c r="D22" s="6" t="n">
        <v>14291699.73</v>
      </c>
      <c r="E22" s="6" t="n">
        <v>437434.24</v>
      </c>
      <c r="F22" s="6" t="n">
        <v>1850000</v>
      </c>
      <c r="G22" s="6" t="n">
        <v>2870000</v>
      </c>
      <c r="H22" s="6" t="n">
        <v>973250</v>
      </c>
      <c r="I22" s="6" t="n">
        <v>2695000</v>
      </c>
      <c r="J22" s="15">
        <f>IFERROR(VLOOKUP(A22,'توقع المحصل الموسمي'!$A$6:$J$43,10,FALSE),1)</f>
        <v/>
      </c>
      <c r="K22" s="6">
        <f>MAX(0,F22*J22-E22)</f>
        <v/>
      </c>
      <c r="L22" s="6">
        <f>G22*J22</f>
        <v/>
      </c>
      <c r="M22" s="6">
        <f>D22+K22+L22</f>
        <v/>
      </c>
      <c r="N22" s="6">
        <f>MAX(0,H22*MIN(J22,1)-E22)</f>
        <v/>
      </c>
      <c r="O22" s="6">
        <f>I22*MIN(J22,1)</f>
        <v/>
      </c>
      <c r="P22" s="6">
        <f>D22+N22+O22</f>
        <v/>
      </c>
      <c r="Q22" s="6" t="n">
        <v>18607310.69</v>
      </c>
      <c r="R22" s="6" t="n">
        <v>19724053.61546767</v>
      </c>
      <c r="S22" s="6">
        <f>M22-Q22</f>
        <v/>
      </c>
      <c r="T22" s="7">
        <f>IF(R22=0,"",M22/R22)</f>
        <v/>
      </c>
      <c r="U22" s="5" t="inlineStr">
        <is>
          <t>ملف المراقبة</t>
        </is>
      </c>
    </row>
    <row r="23">
      <c r="A23" s="5" t="inlineStr">
        <is>
          <t>11452111</t>
        </is>
      </c>
      <c r="B23" s="5" t="inlineStr">
        <is>
          <t>المقابل المالي للسماح للأنشطة التجارية بالعمل (24) ساعة</t>
        </is>
      </c>
      <c r="C23" s="5" t="inlineStr">
        <is>
          <t>الرسوم والتراخيص</t>
        </is>
      </c>
      <c r="D23" s="6" t="n">
        <v>12380137.91</v>
      </c>
      <c r="E23" s="6" t="n">
        <v>990178.5</v>
      </c>
      <c r="F23" s="6" t="n">
        <v>552605.5</v>
      </c>
      <c r="G23" s="6" t="n">
        <v>816625.3</v>
      </c>
      <c r="H23" s="6" t="n">
        <v>474556.44</v>
      </c>
      <c r="I23" s="6" t="n">
        <v>777577.05</v>
      </c>
      <c r="J23" s="15">
        <f>IFERROR(VLOOKUP(A23,'توقع المحصل الموسمي'!$A$6:$J$43,10,FALSE),1)</f>
        <v/>
      </c>
      <c r="K23" s="6">
        <f>MAX(0,F23*J23-E23)</f>
        <v/>
      </c>
      <c r="L23" s="6">
        <f>G23*J23</f>
        <v/>
      </c>
      <c r="M23" s="6">
        <f>D23+K23+L23</f>
        <v/>
      </c>
      <c r="N23" s="6">
        <f>MAX(0,H23*MIN(J23,1)-E23)</f>
        <v/>
      </c>
      <c r="O23" s="6">
        <f>I23*MIN(J23,1)</f>
        <v/>
      </c>
      <c r="P23" s="6">
        <f>D23+N23+O23</f>
        <v/>
      </c>
      <c r="Q23" s="6" t="n">
        <v>6031979.84</v>
      </c>
      <c r="R23" s="6" t="n">
        <v>7104624.902319179</v>
      </c>
      <c r="S23" s="6">
        <f>M23-Q23</f>
        <v/>
      </c>
      <c r="T23" s="7">
        <f>IF(R23=0,"",M23/R23)</f>
        <v/>
      </c>
      <c r="U23" s="5" t="inlineStr">
        <is>
          <t>ملف المراقبة</t>
        </is>
      </c>
    </row>
    <row r="24">
      <c r="A24" s="5" t="inlineStr">
        <is>
          <t>142163</t>
        </is>
      </c>
      <c r="B24" s="5" t="inlineStr">
        <is>
          <t>إيرادات  تأجير مباني تجارية</t>
        </is>
      </c>
      <c r="C24" s="5" t="inlineStr">
        <is>
          <t>إيرادات إستثمارية</t>
        </is>
      </c>
      <c r="D24" s="6" t="n">
        <v>10246864.26</v>
      </c>
      <c r="E24" s="6" t="n">
        <v>380080</v>
      </c>
      <c r="F24" s="6" t="n">
        <v>959250</v>
      </c>
      <c r="G24" s="6" t="n">
        <v>1234661</v>
      </c>
      <c r="H24" s="6" t="n">
        <v>225853</v>
      </c>
      <c r="I24" s="6" t="n">
        <v>596720</v>
      </c>
      <c r="J24" s="15">
        <f>IFERROR(VLOOKUP(A24,'توقع المحصل الموسمي'!$A$6:$J$43,10,FALSE),1)</f>
        <v/>
      </c>
      <c r="K24" s="6">
        <f>MAX(0,F24*J24-E24)</f>
        <v/>
      </c>
      <c r="L24" s="6">
        <f>G24*J24</f>
        <v/>
      </c>
      <c r="M24" s="6">
        <f>D24+K24+L24</f>
        <v/>
      </c>
      <c r="N24" s="6">
        <f>MAX(0,H24*MIN(J24,1)-E24)</f>
        <v/>
      </c>
      <c r="O24" s="6">
        <f>I24*MIN(J24,1)</f>
        <v/>
      </c>
      <c r="P24" s="6">
        <f>D24+N24+O24</f>
        <v/>
      </c>
      <c r="Q24" s="6" t="n">
        <v>50897586.07999999</v>
      </c>
      <c r="R24" s="6" t="n">
        <v>52395049.26104818</v>
      </c>
      <c r="S24" s="6">
        <f>M24-Q24</f>
        <v/>
      </c>
      <c r="T24" s="7">
        <f>IF(R24=0,"",M24/R24)</f>
        <v/>
      </c>
      <c r="U24" s="5" t="inlineStr">
        <is>
          <t>ملف المراقبة</t>
        </is>
      </c>
    </row>
    <row r="25">
      <c r="A25" s="5" t="inlineStr">
        <is>
          <t>1422109</t>
        </is>
      </c>
      <c r="B25" s="5" t="inlineStr">
        <is>
          <t>ايرادات  الكشفية</t>
        </is>
      </c>
      <c r="C25" s="5" t="inlineStr">
        <is>
          <t>الرسوم والتراخيص</t>
        </is>
      </c>
      <c r="D25" s="6" t="n">
        <v>6054177.61</v>
      </c>
      <c r="E25" s="6" t="n">
        <v>330988.56</v>
      </c>
      <c r="F25" s="6" t="n">
        <v>702133.4</v>
      </c>
      <c r="G25" s="6" t="n">
        <v>1368865.4</v>
      </c>
      <c r="H25" s="6" t="n">
        <v>656085.2</v>
      </c>
      <c r="I25" s="6" t="n">
        <v>1293782.8</v>
      </c>
      <c r="J25" s="15">
        <f>IFERROR(VLOOKUP(A25,'توقع المحصل الموسمي'!$A$6:$J$43,10,FALSE),1)</f>
        <v/>
      </c>
      <c r="K25" s="6">
        <f>MAX(0,F25*J25-E25)</f>
        <v/>
      </c>
      <c r="L25" s="6">
        <f>G25*J25</f>
        <v/>
      </c>
      <c r="M25" s="6">
        <f>D25+K25+L25</f>
        <v/>
      </c>
      <c r="N25" s="6">
        <f>MAX(0,H25*MIN(J25,1)-E25)</f>
        <v/>
      </c>
      <c r="O25" s="6">
        <f>I25*MIN(J25,1)</f>
        <v/>
      </c>
      <c r="P25" s="6">
        <f>D25+N25+O25</f>
        <v/>
      </c>
      <c r="Q25" s="6" t="n">
        <v>9760053.120000001</v>
      </c>
      <c r="R25" s="6" t="n">
        <v>10078623.04293208</v>
      </c>
      <c r="S25" s="6">
        <f>M25-Q25</f>
        <v/>
      </c>
      <c r="T25" s="7">
        <f>IF(R25=0,"",M25/R25)</f>
        <v/>
      </c>
      <c r="U25" s="5" t="inlineStr">
        <is>
          <t>ملف المراقبة</t>
        </is>
      </c>
    </row>
    <row r="26">
      <c r="A26" s="5" t="inlineStr">
        <is>
          <t>1422202</t>
        </is>
      </c>
      <c r="B26" s="5" t="inlineStr">
        <is>
          <t>نقـل الملكيـة</t>
        </is>
      </c>
      <c r="C26" s="5" t="inlineStr">
        <is>
          <t>أخرى</t>
        </is>
      </c>
      <c r="D26" s="6" t="n">
        <v>4792650</v>
      </c>
      <c r="E26" s="6" t="n">
        <v>0</v>
      </c>
      <c r="F26" s="6" t="n">
        <v>0</v>
      </c>
      <c r="G26" s="6" t="n">
        <v>0</v>
      </c>
      <c r="H26" s="6" t="n">
        <v>0</v>
      </c>
      <c r="I26" s="6" t="n">
        <v>0</v>
      </c>
      <c r="J26" s="15" t="n">
        <v>0</v>
      </c>
      <c r="K26" s="6" t="n">
        <v>0</v>
      </c>
      <c r="L26" s="6" t="n">
        <v>0</v>
      </c>
      <c r="M26" s="6">
        <f>D26+K26+L26</f>
        <v/>
      </c>
      <c r="N26" s="6" t="n">
        <v>0</v>
      </c>
      <c r="O26" s="6" t="n">
        <v>0</v>
      </c>
      <c r="P26" s="6">
        <f>D26+N26+O26</f>
        <v/>
      </c>
      <c r="Q26" s="6" t="n">
        <v>0</v>
      </c>
      <c r="R26" s="6" t="n">
        <v>0</v>
      </c>
      <c r="S26" s="6">
        <f>M26-Q26</f>
        <v/>
      </c>
      <c r="T26" s="7">
        <f>IF(R26=0,"",M26/R26)</f>
        <v/>
      </c>
      <c r="U26" s="5" t="inlineStr">
        <is>
          <t>ملف المراقبة</t>
        </is>
      </c>
    </row>
    <row r="27">
      <c r="A27" s="5" t="inlineStr">
        <is>
          <t>1421910</t>
        </is>
      </c>
      <c r="B27" s="5" t="inlineStr">
        <is>
          <t>اصدار تراخيص اشغال الارصفة العامة و الطرق</t>
        </is>
      </c>
      <c r="C27" s="5" t="inlineStr">
        <is>
          <t>الرسوم والتراخيص</t>
        </is>
      </c>
      <c r="D27" s="6" t="n">
        <v>3716245.56</v>
      </c>
      <c r="E27" s="6" t="n">
        <v>134647.24</v>
      </c>
      <c r="F27" s="6" t="n">
        <v>249916</v>
      </c>
      <c r="G27" s="6" t="n">
        <v>708874.1899999999</v>
      </c>
      <c r="H27" s="6" t="n">
        <v>214841.4</v>
      </c>
      <c r="I27" s="6" t="n">
        <v>503183.16</v>
      </c>
      <c r="J27" s="15">
        <f>IFERROR(VLOOKUP(A27,'توقع المحصل الموسمي'!$A$6:$J$43,10,FALSE),1)</f>
        <v/>
      </c>
      <c r="K27" s="6">
        <f>MAX(0,F27*J27-E27)</f>
        <v/>
      </c>
      <c r="L27" s="6">
        <f>G27*J27</f>
        <v/>
      </c>
      <c r="M27" s="6">
        <f>D27+K27+L27</f>
        <v/>
      </c>
      <c r="N27" s="6">
        <f>MAX(0,H27*MIN(J27,1)-E27)</f>
        <v/>
      </c>
      <c r="O27" s="6">
        <f>I27*MIN(J27,1)</f>
        <v/>
      </c>
      <c r="P27" s="6">
        <f>D27+N27+O27</f>
        <v/>
      </c>
      <c r="Q27" s="6" t="n">
        <v>4308099.1</v>
      </c>
      <c r="R27" s="6" t="n">
        <v>4541143.188332747</v>
      </c>
      <c r="S27" s="6">
        <f>M27-Q27</f>
        <v/>
      </c>
      <c r="T27" s="7">
        <f>IF(R27=0,"",M27/R27)</f>
        <v/>
      </c>
      <c r="U27" s="5" t="inlineStr">
        <is>
          <t>ملف المراقبة</t>
        </is>
      </c>
    </row>
    <row r="28">
      <c r="A28" s="5" t="inlineStr">
        <is>
          <t>11452107</t>
        </is>
      </c>
      <c r="B28" s="5" t="inlineStr">
        <is>
          <t>اصدار التراخيص بتأسيس أو تشغيل الصراف الآلي</t>
        </is>
      </c>
      <c r="C28" s="5" t="inlineStr">
        <is>
          <t>الرسوم والتراخيص</t>
        </is>
      </c>
      <c r="D28" s="6" t="n">
        <v>2807480.73</v>
      </c>
      <c r="E28" s="6" t="n">
        <v>57100</v>
      </c>
      <c r="F28" s="6" t="n">
        <v>9000</v>
      </c>
      <c r="G28" s="6" t="n">
        <v>24650</v>
      </c>
      <c r="H28" s="6" t="n">
        <v>8000</v>
      </c>
      <c r="I28" s="6" t="n">
        <v>10000</v>
      </c>
      <c r="J28" s="15">
        <f>IFERROR(VLOOKUP(A28,'توقع المحصل الموسمي'!$A$6:$J$43,10,FALSE),1)</f>
        <v/>
      </c>
      <c r="K28" s="6">
        <f>MAX(0,F28*J28-E28)</f>
        <v/>
      </c>
      <c r="L28" s="6">
        <f>G28*J28</f>
        <v/>
      </c>
      <c r="M28" s="6">
        <f>D28+K28+L28</f>
        <v/>
      </c>
      <c r="N28" s="6">
        <f>MAX(0,H28*MIN(J28,1)-E28)</f>
        <v/>
      </c>
      <c r="O28" s="6">
        <f>I28*MIN(J28,1)</f>
        <v/>
      </c>
      <c r="P28" s="6">
        <f>D28+N28+O28</f>
        <v/>
      </c>
      <c r="Q28" s="6" t="n">
        <v>2559317.18</v>
      </c>
      <c r="R28" s="6" t="n">
        <v>2621585.07964954</v>
      </c>
      <c r="S28" s="6">
        <f>M28-Q28</f>
        <v/>
      </c>
      <c r="T28" s="7">
        <f>IF(R28=0,"",M28/R28)</f>
        <v/>
      </c>
      <c r="U28" s="5" t="inlineStr">
        <is>
          <t>ملف المراقبة</t>
        </is>
      </c>
    </row>
    <row r="29">
      <c r="A29" s="5" t="inlineStr">
        <is>
          <t>1421901</t>
        </is>
      </c>
      <c r="B29" s="5" t="inlineStr">
        <is>
          <t>بيع الوثائق والأنظمة</t>
        </is>
      </c>
      <c r="C29" s="5" t="inlineStr">
        <is>
          <t>أخرى</t>
        </is>
      </c>
      <c r="D29" s="6" t="n">
        <v>2598105.71</v>
      </c>
      <c r="E29" s="6" t="n">
        <v>179280.35</v>
      </c>
      <c r="F29" s="6" t="n">
        <v>265200</v>
      </c>
      <c r="G29" s="6" t="n">
        <v>440800</v>
      </c>
      <c r="H29" s="6" t="n">
        <v>217400</v>
      </c>
      <c r="I29" s="6" t="n">
        <v>355500</v>
      </c>
      <c r="J29" s="15">
        <f>IFERROR(VLOOKUP(A29,'توقع المحصل الموسمي'!$A$6:$J$43,10,FALSE),1)</f>
        <v/>
      </c>
      <c r="K29" s="6">
        <f>MAX(0,F29*J29-E29)</f>
        <v/>
      </c>
      <c r="L29" s="6">
        <f>G29*J29</f>
        <v/>
      </c>
      <c r="M29" s="6">
        <f>D29+K29+L29</f>
        <v/>
      </c>
      <c r="N29" s="6">
        <f>MAX(0,H29*MIN(J29,1)-E29)</f>
        <v/>
      </c>
      <c r="O29" s="6">
        <f>I29*MIN(J29,1)</f>
        <v/>
      </c>
      <c r="P29" s="6">
        <f>D29+N29+O29</f>
        <v/>
      </c>
      <c r="Q29" s="6" t="n">
        <v>8797965.779999999</v>
      </c>
      <c r="R29" s="6" t="n">
        <v>6675958.317713005</v>
      </c>
      <c r="S29" s="6">
        <f>M29-Q29</f>
        <v/>
      </c>
      <c r="T29" s="7">
        <f>IF(R29=0,"",M29/R29)</f>
        <v/>
      </c>
      <c r="U29" s="5" t="inlineStr">
        <is>
          <t>ملف المراقبة</t>
        </is>
      </c>
    </row>
    <row r="30">
      <c r="A30" s="5" t="inlineStr">
        <is>
          <t>بدون رقم</t>
        </is>
      </c>
      <c r="B30" s="5" t="inlineStr">
        <is>
          <t>بدون رقم (خدمات علم + جزاءات)</t>
        </is>
      </c>
      <c r="C30" s="5" t="inlineStr">
        <is>
          <t>علم / جزاءات</t>
        </is>
      </c>
      <c r="D30" s="6" t="n">
        <v>2122923.75</v>
      </c>
      <c r="E30" s="6" t="n">
        <v>390906.25</v>
      </c>
      <c r="F30" s="6" t="n">
        <v>1662357.5</v>
      </c>
      <c r="G30" s="6" t="n">
        <v>3133203.75</v>
      </c>
      <c r="H30" s="6" t="n">
        <v>471176.25</v>
      </c>
      <c r="I30" s="6" t="n">
        <v>1095667.5</v>
      </c>
      <c r="J30" s="15">
        <f>IFERROR(VLOOKUP(A30,'توقع المحصل الموسمي'!$A$6:$J$43,10,FALSE),1)</f>
        <v/>
      </c>
      <c r="K30" s="6">
        <f>MAX(0,F30*J30-E30)</f>
        <v/>
      </c>
      <c r="L30" s="6">
        <f>G30*J30</f>
        <v/>
      </c>
      <c r="M30" s="6">
        <f>D30+K30+L30</f>
        <v/>
      </c>
      <c r="N30" s="6">
        <f>MAX(0,H30*MIN(J30,1)-E30)</f>
        <v/>
      </c>
      <c r="O30" s="6">
        <f>I30*MIN(J30,1)</f>
        <v/>
      </c>
      <c r="P30" s="6">
        <f>D30+N30+O30</f>
        <v/>
      </c>
      <c r="Q30" s="6" t="n">
        <v>0</v>
      </c>
      <c r="R30" s="6" t="n">
        <v>0</v>
      </c>
      <c r="S30" s="6">
        <f>M30-Q30</f>
        <v/>
      </c>
      <c r="T30" s="7">
        <f>IF(R30=0,"",M30/R30)</f>
        <v/>
      </c>
      <c r="U30" s="5" t="inlineStr">
        <is>
          <t>الملف الشهري</t>
        </is>
      </c>
    </row>
    <row r="31">
      <c r="A31" s="5" t="inlineStr">
        <is>
          <t>1421912</t>
        </is>
      </c>
      <c r="B31" s="5" t="inlineStr">
        <is>
          <t>تأجير العقارات لأغراض مؤقته</t>
        </is>
      </c>
      <c r="C31" s="5" t="inlineStr">
        <is>
          <t>إيرادات إستثمارية</t>
        </is>
      </c>
      <c r="D31" s="6" t="n">
        <v>1795620.08</v>
      </c>
      <c r="E31" s="6" t="n">
        <v>439507.53</v>
      </c>
      <c r="F31" s="6" t="n">
        <v>274760.4</v>
      </c>
      <c r="G31" s="6" t="n">
        <v>297677.53</v>
      </c>
      <c r="H31" s="6" t="n">
        <v>87557.2</v>
      </c>
      <c r="I31" s="6" t="n">
        <v>286749.22</v>
      </c>
      <c r="J31" s="15">
        <f>IFERROR(VLOOKUP(A31,'توقع المحصل الموسمي'!$A$6:$J$43,10,FALSE),1)</f>
        <v/>
      </c>
      <c r="K31" s="6">
        <f>MAX(0,F31*J31-E31)</f>
        <v/>
      </c>
      <c r="L31" s="6">
        <f>G31*J31</f>
        <v/>
      </c>
      <c r="M31" s="6">
        <f>D31+K31+L31</f>
        <v/>
      </c>
      <c r="N31" s="6">
        <f>MAX(0,H31*MIN(J31,1)-E31)</f>
        <v/>
      </c>
      <c r="O31" s="6">
        <f>I31*MIN(J31,1)</f>
        <v/>
      </c>
      <c r="P31" s="6">
        <f>D31+N31+O31</f>
        <v/>
      </c>
      <c r="Q31" s="6" t="n">
        <v>1715079.17</v>
      </c>
      <c r="R31" s="6" t="n">
        <v>2480385.743054039</v>
      </c>
      <c r="S31" s="6">
        <f>M31-Q31</f>
        <v/>
      </c>
      <c r="T31" s="7">
        <f>IF(R31=0,"",M31/R31)</f>
        <v/>
      </c>
      <c r="U31" s="5" t="inlineStr">
        <is>
          <t>ملف المراقبة</t>
        </is>
      </c>
    </row>
    <row r="32">
      <c r="A32" s="5" t="inlineStr">
        <is>
          <t>11452106</t>
        </is>
      </c>
      <c r="B32" s="5" t="inlineStr">
        <is>
          <t>اصدار التراخيص بتأسيس أو تشغيل ابراج الاتصالات</t>
        </is>
      </c>
      <c r="C32" s="5" t="inlineStr">
        <is>
          <t>الرسوم والتراخيص</t>
        </is>
      </c>
      <c r="D32" s="6" t="n">
        <v>1419801.03</v>
      </c>
      <c r="E32" s="6" t="n">
        <v>56000</v>
      </c>
      <c r="F32" s="6" t="n">
        <v>107000</v>
      </c>
      <c r="G32" s="6" t="n">
        <v>326000</v>
      </c>
      <c r="H32" s="6" t="n">
        <v>97100</v>
      </c>
      <c r="I32" s="6" t="n">
        <v>271100</v>
      </c>
      <c r="J32" s="15">
        <f>IFERROR(VLOOKUP(A32,'توقع المحصل الموسمي'!$A$6:$J$43,10,FALSE),1)</f>
        <v/>
      </c>
      <c r="K32" s="6">
        <f>MAX(0,F32*J32-E32)</f>
        <v/>
      </c>
      <c r="L32" s="6">
        <f>G32*J32</f>
        <v/>
      </c>
      <c r="M32" s="6">
        <f>D32+K32+L32</f>
        <v/>
      </c>
      <c r="N32" s="6">
        <f>MAX(0,H32*MIN(J32,1)-E32)</f>
        <v/>
      </c>
      <c r="O32" s="6">
        <f>I32*MIN(J32,1)</f>
        <v/>
      </c>
      <c r="P32" s="6">
        <f>D32+N32+O32</f>
        <v/>
      </c>
      <c r="Q32" s="6" t="n">
        <v>7078106.61</v>
      </c>
      <c r="R32" s="6" t="n">
        <v>7603182.489329966</v>
      </c>
      <c r="S32" s="6">
        <f>M32-Q32</f>
        <v/>
      </c>
      <c r="T32" s="7">
        <f>IF(R32=0,"",M32/R32)</f>
        <v/>
      </c>
      <c r="U32" s="5" t="inlineStr">
        <is>
          <t>ملف المراقبة</t>
        </is>
      </c>
    </row>
    <row r="33">
      <c r="A33" s="5" t="inlineStr">
        <is>
          <t>11452110</t>
        </is>
      </c>
      <c r="B33" s="5" t="inlineStr">
        <is>
          <t>إصدار تراخيص إستخدام أملاك خاصة لإقامة فعاليات</t>
        </is>
      </c>
      <c r="C33" s="5" t="inlineStr">
        <is>
          <t>الرسوم والتراخيص</t>
        </is>
      </c>
      <c r="D33" s="6" t="n">
        <v>615913.99</v>
      </c>
      <c r="E33" s="6" t="n">
        <v>34158.14</v>
      </c>
      <c r="F33" s="6" t="n">
        <v>37005.64</v>
      </c>
      <c r="G33" s="6" t="n">
        <v>181162.69</v>
      </c>
      <c r="H33" s="6" t="n">
        <v>15698.85</v>
      </c>
      <c r="I33" s="6" t="n">
        <v>118880.15</v>
      </c>
      <c r="J33" s="15">
        <f>IFERROR(VLOOKUP(A33,'توقع المحصل الموسمي'!$A$6:$J$43,10,FALSE),1)</f>
        <v/>
      </c>
      <c r="K33" s="6">
        <f>MAX(0,F33*J33-E33)</f>
        <v/>
      </c>
      <c r="L33" s="6">
        <f>G33*J33</f>
        <v/>
      </c>
      <c r="M33" s="6">
        <f>D33+K33+L33</f>
        <v/>
      </c>
      <c r="N33" s="6">
        <f>MAX(0,H33*MIN(J33,1)-E33)</f>
        <v/>
      </c>
      <c r="O33" s="6">
        <f>I33*MIN(J33,1)</f>
        <v/>
      </c>
      <c r="P33" s="6">
        <f>D33+N33+O33</f>
        <v/>
      </c>
      <c r="Q33" s="6" t="n">
        <v>1281240</v>
      </c>
      <c r="R33" s="6" t="n">
        <v>1369461.01</v>
      </c>
      <c r="S33" s="6">
        <f>M33-Q33</f>
        <v/>
      </c>
      <c r="T33" s="7">
        <f>IF(R33=0,"",M33/R33)</f>
        <v/>
      </c>
      <c r="U33" s="5" t="inlineStr">
        <is>
          <t>ملف المراقبة</t>
        </is>
      </c>
    </row>
    <row r="34">
      <c r="A34" s="5" t="inlineStr">
        <is>
          <t>1422104</t>
        </is>
      </c>
      <c r="B34" s="5" t="inlineStr">
        <is>
          <t>رسوم وأجور ناتجة من النشاط غير مصنفة أعلاه</t>
        </is>
      </c>
      <c r="C34" s="5" t="inlineStr">
        <is>
          <t>الرسوم والتراخيص</t>
        </is>
      </c>
      <c r="D34" s="6" t="n">
        <v>391830</v>
      </c>
      <c r="E34" s="6" t="n">
        <v>0</v>
      </c>
      <c r="F34" s="6" t="n">
        <v>0</v>
      </c>
      <c r="G34" s="6" t="n">
        <v>0</v>
      </c>
      <c r="H34" s="6" t="n">
        <v>0</v>
      </c>
      <c r="I34" s="6" t="n">
        <v>0</v>
      </c>
      <c r="J34" s="15" t="n">
        <v>0</v>
      </c>
      <c r="K34" s="6" t="n">
        <v>0</v>
      </c>
      <c r="L34" s="6" t="n">
        <v>0</v>
      </c>
      <c r="M34" s="6">
        <f>D34+K34+L34</f>
        <v/>
      </c>
      <c r="N34" s="6" t="n">
        <v>0</v>
      </c>
      <c r="O34" s="6" t="n">
        <v>0</v>
      </c>
      <c r="P34" s="6">
        <f>D34+N34+O34</f>
        <v/>
      </c>
      <c r="Q34" s="6" t="n">
        <v>0</v>
      </c>
      <c r="R34" s="6" t="n">
        <v>0</v>
      </c>
      <c r="S34" s="6">
        <f>M34-Q34</f>
        <v/>
      </c>
      <c r="T34" s="7">
        <f>IF(R34=0,"",M34/R34)</f>
        <v/>
      </c>
      <c r="U34" s="5" t="inlineStr">
        <is>
          <t>ملف المراقبة</t>
        </is>
      </c>
    </row>
    <row r="35">
      <c r="A35" s="5" t="inlineStr">
        <is>
          <t>3318212</t>
        </is>
      </c>
      <c r="B35" s="5" t="inlineStr">
        <is>
          <t>مرتجع رواتب - فواتير</t>
        </is>
      </c>
      <c r="C35" s="5" t="inlineStr">
        <is>
          <t>أخرى</t>
        </is>
      </c>
      <c r="D35" s="6" t="n">
        <v>216725.66</v>
      </c>
      <c r="E35" s="6" t="n">
        <v>0</v>
      </c>
      <c r="F35" s="6" t="n">
        <v>0</v>
      </c>
      <c r="G35" s="6" t="n">
        <v>0</v>
      </c>
      <c r="H35" s="6" t="n">
        <v>0</v>
      </c>
      <c r="I35" s="6" t="n">
        <v>0</v>
      </c>
      <c r="J35" s="15">
        <f>IFERROR(VLOOKUP(A35,'توقع المحصل الموسمي'!$A$6:$J$43,10,FALSE),1)</f>
        <v/>
      </c>
      <c r="K35" s="6">
        <f>MAX(0,F35*J35-E35)</f>
        <v/>
      </c>
      <c r="L35" s="6">
        <f>G35*J35</f>
        <v/>
      </c>
      <c r="M35" s="6">
        <f>D35+K35+L35</f>
        <v/>
      </c>
      <c r="N35" s="6">
        <f>MAX(0,H35*MIN(J35,1)-E35)</f>
        <v/>
      </c>
      <c r="O35" s="6">
        <f>I35*MIN(J35,1)</f>
        <v/>
      </c>
      <c r="P35" s="6">
        <f>D35+N35+O35</f>
        <v/>
      </c>
      <c r="Q35" s="6" t="n">
        <v>0</v>
      </c>
      <c r="R35" s="6" t="n">
        <v>0</v>
      </c>
      <c r="S35" s="6">
        <f>M35-Q35</f>
        <v/>
      </c>
      <c r="T35" s="7">
        <f>IF(R35=0,"",M35/R35)</f>
        <v/>
      </c>
      <c r="U35" s="5" t="inlineStr">
        <is>
          <t>الملف الشهري</t>
        </is>
      </c>
    </row>
    <row r="36">
      <c r="A36" s="5" t="inlineStr">
        <is>
          <t>1421903</t>
        </is>
      </c>
      <c r="B36" s="5" t="inlineStr">
        <is>
          <t>مبيعات التيار الكهربائي</t>
        </is>
      </c>
      <c r="C36" s="5" t="inlineStr">
        <is>
          <t>إيرادات إستثمارية</t>
        </is>
      </c>
      <c r="D36" s="6" t="n">
        <v>143551.39</v>
      </c>
      <c r="E36" s="6" t="n">
        <v>0</v>
      </c>
      <c r="F36" s="6" t="n">
        <v>0</v>
      </c>
      <c r="G36" s="6" t="n">
        <v>0</v>
      </c>
      <c r="H36" s="6" t="n">
        <v>0</v>
      </c>
      <c r="I36" s="6" t="n">
        <v>0</v>
      </c>
      <c r="J36" s="15">
        <f>IFERROR(VLOOKUP(A36,'توقع المحصل الموسمي'!$A$6:$J$43,10,FALSE),1)</f>
        <v/>
      </c>
      <c r="K36" s="6">
        <f>MAX(0,F36*J36-E36)</f>
        <v/>
      </c>
      <c r="L36" s="6">
        <f>G36*J36</f>
        <v/>
      </c>
      <c r="M36" s="6">
        <f>D36+K36+L36</f>
        <v/>
      </c>
      <c r="N36" s="6">
        <f>MAX(0,H36*MIN(J36,1)-E36)</f>
        <v/>
      </c>
      <c r="O36" s="6">
        <f>I36*MIN(J36,1)</f>
        <v/>
      </c>
      <c r="P36" s="6">
        <f>D36+N36+O36</f>
        <v/>
      </c>
      <c r="Q36" s="6" t="n">
        <v>2391821</v>
      </c>
      <c r="R36" s="6" t="n">
        <v>2391821</v>
      </c>
      <c r="S36" s="6">
        <f>M36-Q36</f>
        <v/>
      </c>
      <c r="T36" s="7">
        <f>IF(R36=0,"",M36/R36)</f>
        <v/>
      </c>
      <c r="U36" s="5" t="inlineStr">
        <is>
          <t>ملف المراقبة</t>
        </is>
      </c>
    </row>
    <row r="37">
      <c r="A37" s="5" t="inlineStr">
        <is>
          <t>141229</t>
        </is>
      </c>
      <c r="B37" s="5" t="inlineStr">
        <is>
          <t>أرباح أخرى</t>
        </is>
      </c>
      <c r="C37" s="5" t="inlineStr">
        <is>
          <t>إيرادات إستثمارية</t>
        </is>
      </c>
      <c r="D37" s="6" t="n">
        <v>120314</v>
      </c>
      <c r="E37" s="6" t="n">
        <v>60314</v>
      </c>
      <c r="F37" s="6" t="n">
        <v>0</v>
      </c>
      <c r="G37" s="6" t="n">
        <v>40000</v>
      </c>
      <c r="H37" s="6" t="n">
        <v>0</v>
      </c>
      <c r="I37" s="6" t="n">
        <v>0</v>
      </c>
      <c r="J37" s="15">
        <f>IFERROR(VLOOKUP(A37,'توقع المحصل الموسمي'!$A$6:$J$43,10,FALSE),1)</f>
        <v/>
      </c>
      <c r="K37" s="6">
        <f>MAX(0,F37*J37-E37)</f>
        <v/>
      </c>
      <c r="L37" s="6">
        <f>G37*J37</f>
        <v/>
      </c>
      <c r="M37" s="6">
        <f>D37+K37+L37</f>
        <v/>
      </c>
      <c r="N37" s="6">
        <f>MAX(0,H37*MIN(J37,1)-E37)</f>
        <v/>
      </c>
      <c r="O37" s="6">
        <f>I37*MIN(J37,1)</f>
        <v/>
      </c>
      <c r="P37" s="6">
        <f>D37+N37+O37</f>
        <v/>
      </c>
      <c r="Q37" s="6" t="n">
        <v>30000000</v>
      </c>
      <c r="R37" s="6" t="n">
        <v>30000000</v>
      </c>
      <c r="S37" s="6">
        <f>M37-Q37</f>
        <v/>
      </c>
      <c r="T37" s="7">
        <f>IF(R37=0,"",M37/R37)</f>
        <v/>
      </c>
      <c r="U37" s="5" t="inlineStr">
        <is>
          <t>ملف المراقبة</t>
        </is>
      </c>
    </row>
    <row r="38">
      <c r="A38" s="5" t="inlineStr">
        <is>
          <t>1438</t>
        </is>
      </c>
      <c r="B38" s="5" t="inlineStr">
        <is>
          <t>جزاءات وغرامات مفروضة بموجب أنظمة الجهة</t>
        </is>
      </c>
      <c r="C38" s="5" t="inlineStr">
        <is>
          <t>جزاءات وغرامات</t>
        </is>
      </c>
      <c r="D38" s="6" t="n">
        <v>59500</v>
      </c>
      <c r="E38" s="6" t="n">
        <v>0</v>
      </c>
      <c r="F38" s="6" t="n">
        <v>24000</v>
      </c>
      <c r="G38" s="6" t="n">
        <v>51900</v>
      </c>
      <c r="H38" s="6" t="n">
        <v>5000</v>
      </c>
      <c r="I38" s="6" t="n">
        <v>32700</v>
      </c>
      <c r="J38" s="15">
        <f>IFERROR(VLOOKUP(A38,'توقع المحصل الموسمي'!$A$6:$J$43,10,FALSE),1)</f>
        <v/>
      </c>
      <c r="K38" s="6">
        <f>MAX(0,F38*J38-E38)</f>
        <v/>
      </c>
      <c r="L38" s="6">
        <f>G38*J38</f>
        <v/>
      </c>
      <c r="M38" s="6">
        <f>D38+K38+L38</f>
        <v/>
      </c>
      <c r="N38" s="6">
        <f>MAX(0,H38*MIN(J38,1)-E38)</f>
        <v/>
      </c>
      <c r="O38" s="6">
        <f>I38*MIN(J38,1)</f>
        <v/>
      </c>
      <c r="P38" s="6">
        <f>D38+N38+O38</f>
        <v/>
      </c>
      <c r="Q38" s="6" t="n">
        <v>0</v>
      </c>
      <c r="R38" s="6" t="n">
        <v>0</v>
      </c>
      <c r="S38" s="6">
        <f>M38-Q38</f>
        <v/>
      </c>
      <c r="T38" s="7">
        <f>IF(R38=0,"",M38/R38)</f>
        <v/>
      </c>
      <c r="U38" s="5" t="inlineStr">
        <is>
          <t>الملف الشهري</t>
        </is>
      </c>
    </row>
    <row r="39">
      <c r="A39" s="5" t="inlineStr">
        <is>
          <t>1421907</t>
        </is>
      </c>
      <c r="B39" s="5" t="inlineStr">
        <is>
          <t>إيرادات المخططات</t>
        </is>
      </c>
      <c r="C39" s="5" t="inlineStr">
        <is>
          <t>الرسوم والتراخيص</t>
        </is>
      </c>
      <c r="D39" s="6" t="n">
        <v>5950</v>
      </c>
      <c r="E39" s="6" t="n">
        <v>0</v>
      </c>
      <c r="F39" s="6" t="n">
        <v>0</v>
      </c>
      <c r="G39" s="6" t="n">
        <v>0</v>
      </c>
      <c r="H39" s="6" t="n">
        <v>0</v>
      </c>
      <c r="I39" s="6" t="n">
        <v>0</v>
      </c>
      <c r="J39" s="15">
        <f>IFERROR(VLOOKUP(A39,'توقع المحصل الموسمي'!$A$6:$J$43,10,FALSE),1)</f>
        <v/>
      </c>
      <c r="K39" s="6">
        <f>MAX(0,F39*J39-E39)</f>
        <v/>
      </c>
      <c r="L39" s="6">
        <f>G39*J39</f>
        <v/>
      </c>
      <c r="M39" s="6">
        <f>D39+K39+L39</f>
        <v/>
      </c>
      <c r="N39" s="6">
        <f>MAX(0,H39*MIN(J39,1)-E39)</f>
        <v/>
      </c>
      <c r="O39" s="6">
        <f>I39*MIN(J39,1)</f>
        <v/>
      </c>
      <c r="P39" s="6">
        <f>D39+N39+O39</f>
        <v/>
      </c>
      <c r="Q39" s="6" t="n">
        <v>614036.83</v>
      </c>
      <c r="R39" s="6" t="n">
        <v>614036.83</v>
      </c>
      <c r="S39" s="6">
        <f>M39-Q39</f>
        <v/>
      </c>
      <c r="T39" s="7">
        <f>IF(R39=0,"",M39/R39)</f>
        <v/>
      </c>
      <c r="U39" s="5" t="inlineStr">
        <is>
          <t>ملف المراقبة</t>
        </is>
      </c>
    </row>
    <row r="40">
      <c r="A40" s="5" t="inlineStr">
        <is>
          <t>11452105</t>
        </is>
      </c>
      <c r="B40" s="5" t="inlineStr">
        <is>
          <t>رسوم تراخيص حفر الشوارع</t>
        </is>
      </c>
      <c r="C40" s="5" t="inlineStr">
        <is>
          <t>الرسوم والتراخيص</t>
        </is>
      </c>
      <c r="D40" s="6" t="n">
        <v>1350</v>
      </c>
      <c r="E40" s="6" t="n">
        <v>0</v>
      </c>
      <c r="F40" s="6" t="n">
        <v>3251093.38</v>
      </c>
      <c r="G40" s="6" t="n">
        <v>3179964.38</v>
      </c>
      <c r="H40" s="6" t="n">
        <v>0</v>
      </c>
      <c r="I40" s="6" t="n">
        <v>0</v>
      </c>
      <c r="J40" s="15">
        <f>IFERROR(VLOOKUP(A40,'توقع المحصل الموسمي'!$A$6:$J$43,10,FALSE),1)</f>
        <v/>
      </c>
      <c r="K40" s="6">
        <f>MAX(0,F40*J40-E40)</f>
        <v/>
      </c>
      <c r="L40" s="6">
        <f>G40*J40</f>
        <v/>
      </c>
      <c r="M40" s="6">
        <f>D40+K40+L40</f>
        <v/>
      </c>
      <c r="N40" s="6">
        <f>MAX(0,H40*MIN(J40,1)-E40)</f>
        <v/>
      </c>
      <c r="O40" s="6">
        <f>I40*MIN(J40,1)</f>
        <v/>
      </c>
      <c r="P40" s="6">
        <f>D40+N40+O40</f>
        <v/>
      </c>
      <c r="Q40" s="6" t="n">
        <v>200000</v>
      </c>
      <c r="R40" s="6" t="n">
        <v>442058.1764705882</v>
      </c>
      <c r="S40" s="6">
        <f>M40-Q40</f>
        <v/>
      </c>
      <c r="T40" s="7">
        <f>IF(R40=0,"",M40/R40)</f>
        <v/>
      </c>
      <c r="U40" s="5" t="inlineStr">
        <is>
          <t>ملف المراقبة</t>
        </is>
      </c>
    </row>
    <row r="41">
      <c r="A41" s="5" t="inlineStr">
        <is>
          <t>11452513</t>
        </is>
      </c>
      <c r="B41" s="5" t="inlineStr">
        <is>
          <t>لوحات إرشـادية</t>
        </is>
      </c>
      <c r="C41" s="5" t="inlineStr">
        <is>
          <t>الرسوم والتراخيص</t>
        </is>
      </c>
      <c r="D41" s="6" t="n">
        <v>600</v>
      </c>
      <c r="E41" s="6" t="n">
        <v>0</v>
      </c>
      <c r="F41" s="6" t="n">
        <v>0</v>
      </c>
      <c r="G41" s="6" t="n">
        <v>2100</v>
      </c>
      <c r="H41" s="6" t="n">
        <v>0</v>
      </c>
      <c r="I41" s="6" t="n">
        <v>0</v>
      </c>
      <c r="J41" s="15">
        <f>IFERROR(VLOOKUP(A41,'توقع المحصل الموسمي'!$A$6:$J$43,10,FALSE),1)</f>
        <v/>
      </c>
      <c r="K41" s="6">
        <f>MAX(0,F41*J41-E41)</f>
        <v/>
      </c>
      <c r="L41" s="6">
        <f>G41*J41</f>
        <v/>
      </c>
      <c r="M41" s="6">
        <f>D41+K41+L41</f>
        <v/>
      </c>
      <c r="N41" s="6">
        <f>MAX(0,H41*MIN(J41,1)-E41)</f>
        <v/>
      </c>
      <c r="O41" s="6">
        <f>I41*MIN(J41,1)</f>
        <v/>
      </c>
      <c r="P41" s="6">
        <f>D41+N41+O41</f>
        <v/>
      </c>
      <c r="Q41" s="6" t="n">
        <v>66659.70999999999</v>
      </c>
      <c r="R41" s="6" t="n">
        <v>66659</v>
      </c>
      <c r="S41" s="6">
        <f>M41-Q41</f>
        <v/>
      </c>
      <c r="T41" s="7">
        <f>IF(R41=0,"",M41/R41)</f>
        <v/>
      </c>
      <c r="U41" s="5" t="inlineStr">
        <is>
          <t>ملف المراقبة</t>
        </is>
      </c>
    </row>
    <row r="42">
      <c r="A42" s="5" t="inlineStr">
        <is>
          <t>1422103</t>
        </is>
      </c>
      <c r="B42" s="5" t="inlineStr">
        <is>
          <t>تراخيص المحلات</t>
        </is>
      </c>
      <c r="C42" s="5" t="inlineStr">
        <is>
          <t>إيرادات إستثمارية</t>
        </is>
      </c>
      <c r="D42" s="6" t="n">
        <v>432</v>
      </c>
      <c r="E42" s="6" t="n">
        <v>0</v>
      </c>
      <c r="F42" s="6" t="n">
        <v>300</v>
      </c>
      <c r="G42" s="6" t="n">
        <v>1479.6</v>
      </c>
      <c r="H42" s="6" t="n">
        <v>0</v>
      </c>
      <c r="I42" s="6" t="n">
        <v>228</v>
      </c>
      <c r="J42" s="15">
        <f>IFERROR(VLOOKUP(A42,'توقع المحصل الموسمي'!$A$6:$J$43,10,FALSE),1)</f>
        <v/>
      </c>
      <c r="K42" s="6">
        <f>MAX(0,F42*J42-E42)</f>
        <v/>
      </c>
      <c r="L42" s="6">
        <f>G42*J42</f>
        <v/>
      </c>
      <c r="M42" s="6">
        <f>D42+K42+L42</f>
        <v/>
      </c>
      <c r="N42" s="6">
        <f>MAX(0,H42*MIN(J42,1)-E42)</f>
        <v/>
      </c>
      <c r="O42" s="6">
        <f>I42*MIN(J42,1)</f>
        <v/>
      </c>
      <c r="P42" s="6">
        <f>D42+N42+O42</f>
        <v/>
      </c>
      <c r="Q42" s="6" t="n">
        <v>0</v>
      </c>
      <c r="R42" s="6" t="n">
        <v>0</v>
      </c>
      <c r="S42" s="6">
        <f>M42-Q42</f>
        <v/>
      </c>
      <c r="T42" s="7">
        <f>IF(R42=0,"",M42/R42)</f>
        <v/>
      </c>
      <c r="U42" s="5" t="inlineStr">
        <is>
          <t>الملف الشهري</t>
        </is>
      </c>
    </row>
    <row r="43">
      <c r="A43" s="5" t="inlineStr">
        <is>
          <t>11452109</t>
        </is>
      </c>
      <c r="B43" s="5" t="inlineStr">
        <is>
          <t>اعتماد مخططات التطوير العقاري</t>
        </is>
      </c>
      <c r="C43" s="5" t="inlineStr">
        <is>
          <t>الرسوم والتراخيص</t>
        </is>
      </c>
      <c r="D43" s="6" t="n">
        <v>50</v>
      </c>
      <c r="E43" s="6" t="n">
        <v>0</v>
      </c>
      <c r="F43" s="6" t="n">
        <v>110295.92</v>
      </c>
      <c r="G43" s="6" t="n">
        <v>6100</v>
      </c>
      <c r="H43" s="6" t="n">
        <v>1600</v>
      </c>
      <c r="I43" s="6" t="n">
        <v>50</v>
      </c>
      <c r="J43" s="15">
        <f>IFERROR(VLOOKUP(A43,'توقع المحصل الموسمي'!$A$6:$J$43,10,FALSE),1)</f>
        <v/>
      </c>
      <c r="K43" s="6">
        <f>MAX(0,F43*J43-E43)</f>
        <v/>
      </c>
      <c r="L43" s="6">
        <f>G43*J43</f>
        <v/>
      </c>
      <c r="M43" s="6">
        <f>D43+K43+L43</f>
        <v/>
      </c>
      <c r="N43" s="6">
        <f>MAX(0,H43*MIN(J43,1)-E43)</f>
        <v/>
      </c>
      <c r="O43" s="6">
        <f>I43*MIN(J43,1)</f>
        <v/>
      </c>
      <c r="P43" s="6">
        <f>D43+N43+O43</f>
        <v/>
      </c>
      <c r="Q43" s="6" t="n">
        <v>854382.67</v>
      </c>
      <c r="R43" s="6" t="n">
        <v>854382.67</v>
      </c>
      <c r="S43" s="6">
        <f>M43-Q43</f>
        <v/>
      </c>
      <c r="T43" s="7">
        <f>IF(R43=0,"",M43/R43)</f>
        <v/>
      </c>
      <c r="U43" s="5" t="inlineStr">
        <is>
          <t>ملف المراقبة</t>
        </is>
      </c>
    </row>
    <row r="44">
      <c r="A44" s="5" t="inlineStr">
        <is>
          <t>11422</t>
        </is>
      </c>
      <c r="B44" s="5" t="inlineStr">
        <is>
          <t>رسوم منتجات التبغ</t>
        </is>
      </c>
      <c r="C44" s="5" t="inlineStr">
        <is>
          <t>التبغ والإيواء</t>
        </is>
      </c>
      <c r="D44" s="6" t="n">
        <v>0</v>
      </c>
      <c r="E44" s="6" t="n">
        <v>0</v>
      </c>
      <c r="F44" s="6" t="n">
        <v>0</v>
      </c>
      <c r="G44" s="6" t="n">
        <v>0</v>
      </c>
      <c r="H44" s="6" t="n">
        <v>0</v>
      </c>
      <c r="I44" s="6" t="n">
        <v>0</v>
      </c>
      <c r="J44" s="15">
        <f>IFERROR(VLOOKUP(A44,'توقع المحصل الموسمي'!$A$6:$J$43,10,FALSE),1)</f>
        <v/>
      </c>
      <c r="K44" s="6">
        <f>MAX(0,F44*J44-E44)</f>
        <v/>
      </c>
      <c r="L44" s="6">
        <f>G44*J44</f>
        <v/>
      </c>
      <c r="M44" s="6">
        <f>D44+K44+L44</f>
        <v/>
      </c>
      <c r="N44" s="6">
        <f>MAX(0,H44*MIN(J44,1)-E44)</f>
        <v/>
      </c>
      <c r="O44" s="6">
        <f>I44*MIN(J44,1)</f>
        <v/>
      </c>
      <c r="P44" s="6">
        <f>D44+N44+O44</f>
        <v/>
      </c>
      <c r="Q44" s="6" t="n">
        <v>0</v>
      </c>
      <c r="R44" s="6" t="n">
        <v>0</v>
      </c>
      <c r="S44" s="6">
        <f>M44-Q44</f>
        <v/>
      </c>
      <c r="T44" s="7">
        <f>IF(R44=0,"",M44/R44)</f>
        <v/>
      </c>
      <c r="U44" s="5" t="inlineStr">
        <is>
          <t>الملف الشهري</t>
        </is>
      </c>
    </row>
    <row r="45">
      <c r="A45" s="5" t="inlineStr">
        <is>
          <t>142161</t>
        </is>
      </c>
      <c r="B45" s="5" t="inlineStr">
        <is>
          <t>تاجير مباني سكنية</t>
        </is>
      </c>
      <c r="C45" s="5" t="inlineStr">
        <is>
          <t>إيرادات إستثمارية</t>
        </is>
      </c>
      <c r="D45" s="6" t="n">
        <v>0</v>
      </c>
      <c r="E45" s="6" t="n">
        <v>0</v>
      </c>
      <c r="F45" s="6" t="n">
        <v>0</v>
      </c>
      <c r="G45" s="6" t="n">
        <v>0</v>
      </c>
      <c r="H45" s="6" t="n">
        <v>0</v>
      </c>
      <c r="I45" s="6" t="n">
        <v>0</v>
      </c>
      <c r="J45" s="15">
        <f>IFERROR(VLOOKUP(A45,'توقع المحصل الموسمي'!$A$6:$J$43,10,FALSE),1)</f>
        <v/>
      </c>
      <c r="K45" s="6">
        <f>MAX(0,F45*J45-E45)</f>
        <v/>
      </c>
      <c r="L45" s="6">
        <f>G45*J45</f>
        <v/>
      </c>
      <c r="M45" s="6">
        <f>D45+K45+L45</f>
        <v/>
      </c>
      <c r="N45" s="6">
        <f>MAX(0,H45*MIN(J45,1)-E45)</f>
        <v/>
      </c>
      <c r="O45" s="6">
        <f>I45*MIN(J45,1)</f>
        <v/>
      </c>
      <c r="P45" s="6">
        <f>D45+N45+O45</f>
        <v/>
      </c>
      <c r="Q45" s="6" t="n">
        <v>0</v>
      </c>
      <c r="R45" s="6" t="n">
        <v>0</v>
      </c>
      <c r="S45" s="6">
        <f>M45-Q45</f>
        <v/>
      </c>
      <c r="T45" s="7">
        <f>IF(R45=0,"",M45/R45)</f>
        <v/>
      </c>
      <c r="U45" s="5" t="inlineStr">
        <is>
          <t>الملف الشهري</t>
        </is>
      </c>
    </row>
    <row r="46">
      <c r="A46" s="5" t="inlineStr">
        <is>
          <t>1421908</t>
        </is>
      </c>
      <c r="B46" s="5" t="inlineStr">
        <is>
          <t>ايرادات  رسوم خدمات  بلدية</t>
        </is>
      </c>
      <c r="C46" s="5" t="inlineStr">
        <is>
          <t>إيرادات إستثمارية</t>
        </is>
      </c>
      <c r="D46" s="6" t="n">
        <v>0</v>
      </c>
      <c r="E46" s="6" t="n">
        <v>0</v>
      </c>
      <c r="F46" s="6" t="n">
        <v>0</v>
      </c>
      <c r="G46" s="6" t="n">
        <v>0</v>
      </c>
      <c r="H46" s="6" t="n">
        <v>0</v>
      </c>
      <c r="I46" s="6" t="n">
        <v>0</v>
      </c>
      <c r="J46" s="15">
        <f>IFERROR(VLOOKUP(A46,'توقع المحصل الموسمي'!$A$6:$J$43,10,FALSE),1)</f>
        <v/>
      </c>
      <c r="K46" s="6">
        <f>MAX(0,F46*J46-E46)</f>
        <v/>
      </c>
      <c r="L46" s="6">
        <f>G46*J46</f>
        <v/>
      </c>
      <c r="M46" s="6">
        <f>D46+K46+L46</f>
        <v/>
      </c>
      <c r="N46" s="6">
        <f>MAX(0,H46*MIN(J46,1)-E46)</f>
        <v/>
      </c>
      <c r="O46" s="6">
        <f>I46*MIN(J46,1)</f>
        <v/>
      </c>
      <c r="P46" s="6">
        <f>D46+N46+O46</f>
        <v/>
      </c>
      <c r="Q46" s="6" t="n">
        <v>0</v>
      </c>
      <c r="R46" s="6" t="n">
        <v>0</v>
      </c>
      <c r="S46" s="6">
        <f>M46-Q46</f>
        <v/>
      </c>
      <c r="T46" s="7">
        <f>IF(R46=0,"",M46/R46)</f>
        <v/>
      </c>
      <c r="U46" s="5" t="inlineStr">
        <is>
          <t>الملف الشهري</t>
        </is>
      </c>
    </row>
    <row r="47">
      <c r="A47" s="5" t="inlineStr">
        <is>
          <t>1422112</t>
        </is>
      </c>
      <c r="B47" s="5" t="inlineStr">
        <is>
          <t>إصدار رخصة</t>
        </is>
      </c>
      <c r="C47" s="5" t="inlineStr">
        <is>
          <t>الرسوم والتراخيص</t>
        </is>
      </c>
      <c r="D47" s="6" t="n">
        <v>0</v>
      </c>
      <c r="E47" s="6" t="n">
        <v>0</v>
      </c>
      <c r="F47" s="6" t="n">
        <v>0</v>
      </c>
      <c r="G47" s="6" t="n">
        <v>0</v>
      </c>
      <c r="H47" s="6" t="n">
        <v>0</v>
      </c>
      <c r="I47" s="6" t="n">
        <v>0</v>
      </c>
      <c r="J47" s="15" t="n">
        <v>0</v>
      </c>
      <c r="K47" s="6" t="n">
        <v>0</v>
      </c>
      <c r="L47" s="6" t="n">
        <v>0</v>
      </c>
      <c r="M47" s="6">
        <f>D47+K47+L47</f>
        <v/>
      </c>
      <c r="N47" s="6" t="n">
        <v>0</v>
      </c>
      <c r="O47" s="6" t="n">
        <v>0</v>
      </c>
      <c r="P47" s="6">
        <f>D47+N47+O47</f>
        <v/>
      </c>
      <c r="Q47" s="6" t="n">
        <v>0</v>
      </c>
      <c r="R47" s="6" t="n">
        <v>0</v>
      </c>
      <c r="S47" s="6">
        <f>M47-Q47</f>
        <v/>
      </c>
      <c r="T47" s="7">
        <f>IF(R47=0,"",M47/R47)</f>
        <v/>
      </c>
      <c r="U47" s="5" t="inlineStr">
        <is>
          <t>ملف المراقبة</t>
        </is>
      </c>
    </row>
    <row r="48">
      <c r="A48" s="5" t="inlineStr">
        <is>
          <t>1422199</t>
        </is>
      </c>
      <c r="B48" s="5" t="inlineStr">
        <is>
          <t>رسوم الخدمات العامة الأخرى</t>
        </is>
      </c>
      <c r="C48" s="5" t="inlineStr">
        <is>
          <t>الرسوم والتراخيص</t>
        </is>
      </c>
      <c r="D48" s="6" t="n">
        <v>0</v>
      </c>
      <c r="E48" s="6" t="n">
        <v>0</v>
      </c>
      <c r="F48" s="6" t="n">
        <v>0</v>
      </c>
      <c r="G48" s="6" t="n">
        <v>0</v>
      </c>
      <c r="H48" s="6" t="n">
        <v>0</v>
      </c>
      <c r="I48" s="6" t="n">
        <v>0</v>
      </c>
      <c r="J48" s="15" t="n">
        <v>0</v>
      </c>
      <c r="K48" s="6" t="n">
        <v>0</v>
      </c>
      <c r="L48" s="6" t="n">
        <v>0</v>
      </c>
      <c r="M48" s="6">
        <f>D48+K48+L48</f>
        <v/>
      </c>
      <c r="N48" s="6" t="n">
        <v>0</v>
      </c>
      <c r="O48" s="6" t="n">
        <v>0</v>
      </c>
      <c r="P48" s="6">
        <f>D48+N48+O48</f>
        <v/>
      </c>
      <c r="Q48" s="6" t="n">
        <v>0</v>
      </c>
      <c r="R48" s="6" t="n">
        <v>0</v>
      </c>
      <c r="S48" s="6">
        <f>M48-Q48</f>
        <v/>
      </c>
      <c r="T48" s="7">
        <f>IF(R48=0,"",M48/R48)</f>
        <v/>
      </c>
      <c r="U48" s="5" t="inlineStr">
        <is>
          <t>ملف المراقبة</t>
        </is>
      </c>
    </row>
    <row r="49">
      <c r="A49" s="8" t="n"/>
      <c r="B49" s="8" t="inlineStr">
        <is>
          <t>الإجمالي</t>
        </is>
      </c>
      <c r="C49" s="8" t="n"/>
      <c r="D49" s="9">
        <f>SUM(D6:D48)</f>
        <v/>
      </c>
      <c r="E49" s="9">
        <f>SUM(E6:E48)</f>
        <v/>
      </c>
      <c r="F49" s="9" t="n"/>
      <c r="G49" s="9" t="n"/>
      <c r="H49" s="9" t="n"/>
      <c r="I49" s="9" t="n"/>
      <c r="J49" s="17" t="n"/>
      <c r="K49" s="9">
        <f>SUM(K6:K48)</f>
        <v/>
      </c>
      <c r="L49" s="9">
        <f>SUM(L6:L48)</f>
        <v/>
      </c>
      <c r="M49" s="9">
        <f>SUM(M6:M48)</f>
        <v/>
      </c>
      <c r="N49" s="9">
        <f>SUM(N6:N48)</f>
        <v/>
      </c>
      <c r="O49" s="9">
        <f>SUM(O6:O48)</f>
        <v/>
      </c>
      <c r="P49" s="9">
        <f>SUM(P6:P48)</f>
        <v/>
      </c>
      <c r="Q49" s="9">
        <f>SUM(Q6:Q48)</f>
        <v/>
      </c>
      <c r="R49" s="9">
        <f>SUM(R6:R48)</f>
        <v/>
      </c>
      <c r="S49" s="9">
        <f>SUM(S6:S48)</f>
        <v/>
      </c>
      <c r="T49" s="10">
        <f>M49/R49</f>
        <v/>
      </c>
      <c r="U49" s="8" t="n"/>
    </row>
  </sheetData>
  <autoFilter ref="A5:U48"/>
  <mergeCells count="1">
    <mergeCell ref="A2:U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8"/>
  <sheetViews>
    <sheetView rightToLeft="1"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16" customWidth="1" min="3" max="3"/>
    <col width="16" customWidth="1" min="4" max="4"/>
    <col width="16" customWidth="1" min="5" max="5"/>
    <col width="16" customWidth="1" min="6" max="6"/>
    <col width="18" customWidth="1" min="7" max="7"/>
    <col width="18" customWidth="1" min="8" max="8"/>
    <col width="18" customWidth="1" min="9" max="9"/>
    <col width="13" customWidth="1" min="10" max="10"/>
    <col width="13" customWidth="1" min="11" max="11"/>
    <col width="16" customWidth="1" min="12" max="12"/>
    <col width="16" customWidth="1" min="13" max="13"/>
  </cols>
  <sheetData>
    <row r="1">
      <c r="A1" s="1" t="inlineStr">
        <is>
          <t>المحصل الفعلي لكل حساب 2023–2025 وإقفال 2026 (بدون الضريبة)</t>
        </is>
      </c>
    </row>
    <row r="2" ht="48" customHeight="1">
      <c r="A2" s="12" t="inlineStr">
        <is>
          <t>2023 و2024 و2025 = المحصل الكامل للسنة من الملف الشهري (2025 بعد نقل 913م من اللوحات الدعائية إلى تأجير المرافق؛ 2023 و2024 كما هي بدون إعادة تصنيف). 2026 = الفعلي يناير–أكتوبر من ملف المراقبة (قبل الاستقطاع) وإقفال 2026 أساسي وأسوأ من ورقة "توقع المحصل (المراقبة)". اختلاف مصدر الفعلي (المراقبة تشمل التوريد والمستقطع) يجعل مقارنة 2026 بما قبله أعلى قليلاً.</t>
        </is>
      </c>
    </row>
    <row r="4" ht="42" customHeight="1">
      <c r="A4" s="4" t="inlineStr">
        <is>
          <t>رقم الحساب</t>
        </is>
      </c>
      <c r="B4" s="4" t="inlineStr">
        <is>
          <t>اسم الحساب</t>
        </is>
      </c>
      <c r="C4" s="4" t="inlineStr">
        <is>
          <t>التبويب</t>
        </is>
      </c>
      <c r="D4" s="4" t="inlineStr">
        <is>
          <t>2023 محصّل</t>
        </is>
      </c>
      <c r="E4" s="4" t="inlineStr">
        <is>
          <t>2024 محصّل</t>
        </is>
      </c>
      <c r="F4" s="4" t="inlineStr">
        <is>
          <t>2025 محصّل</t>
        </is>
      </c>
      <c r="G4" s="4" t="inlineStr">
        <is>
          <t>2026 الفعلي حتى أكتوبر</t>
        </is>
      </c>
      <c r="H4" s="4" t="inlineStr">
        <is>
          <t>2026 إقفال أساسي</t>
        </is>
      </c>
      <c r="I4" s="4" t="inlineStr">
        <is>
          <t>2026 إقفال أسوأ</t>
        </is>
      </c>
      <c r="J4" s="4" t="inlineStr">
        <is>
          <t>نمو 2024 عن 2023</t>
        </is>
      </c>
      <c r="K4" s="4" t="inlineStr">
        <is>
          <t>نمو 2025 عن 2024</t>
        </is>
      </c>
      <c r="L4" s="4" t="inlineStr">
        <is>
          <t>نمو 2026 (أساسي) عن 2025</t>
        </is>
      </c>
      <c r="M4" s="4" t="inlineStr">
        <is>
          <t>نمو 2026 (أسوأ) عن 2025</t>
        </is>
      </c>
    </row>
    <row r="5">
      <c r="A5" s="5" t="inlineStr">
        <is>
          <t>14155</t>
        </is>
      </c>
      <c r="B5" s="5">
        <f>'توقع المحصل (المراقبة)'!B6</f>
        <v/>
      </c>
      <c r="C5" s="5">
        <f>'توقع المحصل (المراقبة)'!C6</f>
        <v/>
      </c>
      <c r="D5" s="6" t="n">
        <v>779186906.26</v>
      </c>
      <c r="E5" s="6" t="n">
        <v>803323461.12</v>
      </c>
      <c r="F5" s="6" t="n">
        <v>649331791.52</v>
      </c>
      <c r="G5" s="6">
        <f>'توقع المحصل (المراقبة)'!D6</f>
        <v/>
      </c>
      <c r="H5" s="6">
        <f>'توقع المحصل (المراقبة)'!M6</f>
        <v/>
      </c>
      <c r="I5" s="6">
        <f>'توقع المحصل (المراقبة)'!P6</f>
        <v/>
      </c>
      <c r="J5" s="7">
        <f>IF(D5=0,"",E5/D5-1)</f>
        <v/>
      </c>
      <c r="K5" s="7">
        <f>IF(E5=0,"",F5/E5-1)</f>
        <v/>
      </c>
      <c r="L5" s="7">
        <f>IF(F5=0,"",H5/F5-1)</f>
        <v/>
      </c>
      <c r="M5" s="7">
        <f>IF(F5=0,"",I5/F5-1)</f>
        <v/>
      </c>
    </row>
    <row r="6">
      <c r="A6" s="5" t="inlineStr">
        <is>
          <t>142162</t>
        </is>
      </c>
      <c r="B6" s="5">
        <f>'توقع المحصل (المراقبة)'!B7</f>
        <v/>
      </c>
      <c r="C6" s="5">
        <f>'توقع المحصل (المراقبة)'!C7</f>
        <v/>
      </c>
      <c r="D6" s="6" t="n">
        <v>29573714.25</v>
      </c>
      <c r="E6" s="6" t="n">
        <v>45452213.03</v>
      </c>
      <c r="F6" s="6" t="n">
        <v>938889683.7</v>
      </c>
      <c r="G6" s="6">
        <f>'توقع المحصل (المراقبة)'!D7</f>
        <v/>
      </c>
      <c r="H6" s="6">
        <f>'توقع المحصل (المراقبة)'!M7</f>
        <v/>
      </c>
      <c r="I6" s="6">
        <f>'توقع المحصل (المراقبة)'!P7</f>
        <v/>
      </c>
      <c r="J6" s="7">
        <f>IF(D6=0,"",E6/D6-1)</f>
        <v/>
      </c>
      <c r="K6" s="7">
        <f>IF(E6=0,"",F6/E6-1)</f>
        <v/>
      </c>
      <c r="L6" s="7">
        <f>IF(F6=0,"",H6/F6-1)</f>
        <v/>
      </c>
      <c r="M6" s="7">
        <f>IF(F6=0,"",I6/F6-1)</f>
        <v/>
      </c>
    </row>
    <row r="7">
      <c r="A7" s="5" t="inlineStr">
        <is>
          <t>1438001</t>
        </is>
      </c>
      <c r="B7" s="5">
        <f>'توقع المحصل (المراقبة)'!B8</f>
        <v/>
      </c>
      <c r="C7" s="5">
        <f>'توقع المحصل (المراقبة)'!C8</f>
        <v/>
      </c>
      <c r="D7" s="6" t="n">
        <v>459891610.83</v>
      </c>
      <c r="E7" s="6" t="n">
        <v>303585685.79</v>
      </c>
      <c r="F7" s="6" t="n">
        <v>308012204.69</v>
      </c>
      <c r="G7" s="6">
        <f>'توقع المحصل (المراقبة)'!D8</f>
        <v/>
      </c>
      <c r="H7" s="6">
        <f>'توقع المحصل (المراقبة)'!M8</f>
        <v/>
      </c>
      <c r="I7" s="6">
        <f>'توقع المحصل (المراقبة)'!P8</f>
        <v/>
      </c>
      <c r="J7" s="7">
        <f>IF(D7=0,"",E7/D7-1)</f>
        <v/>
      </c>
      <c r="K7" s="7">
        <f>IF(E7=0,"",F7/E7-1)</f>
        <v/>
      </c>
      <c r="L7" s="7">
        <f>IF(F7=0,"",H7/F7-1)</f>
        <v/>
      </c>
      <c r="M7" s="7">
        <f>IF(F7=0,"",I7/F7-1)</f>
        <v/>
      </c>
    </row>
    <row r="8">
      <c r="A8" s="5" t="inlineStr">
        <is>
          <t>11452104</t>
        </is>
      </c>
      <c r="B8" s="5">
        <f>'توقع المحصل (المراقبة)'!B9</f>
        <v/>
      </c>
      <c r="C8" s="5">
        <f>'توقع المحصل (المراقبة)'!C9</f>
        <v/>
      </c>
      <c r="D8" s="6" t="n">
        <v>260667489.98</v>
      </c>
      <c r="E8" s="6" t="n">
        <v>276275913.44</v>
      </c>
      <c r="F8" s="6" t="n">
        <v>267496278.85</v>
      </c>
      <c r="G8" s="6">
        <f>'توقع المحصل (المراقبة)'!D9</f>
        <v/>
      </c>
      <c r="H8" s="6">
        <f>'توقع المحصل (المراقبة)'!M9</f>
        <v/>
      </c>
      <c r="I8" s="6">
        <f>'توقع المحصل (المراقبة)'!P9</f>
        <v/>
      </c>
      <c r="J8" s="7">
        <f>IF(D8=0,"",E8/D8-1)</f>
        <v/>
      </c>
      <c r="K8" s="7">
        <f>IF(E8=0,"",F8/E8-1)</f>
        <v/>
      </c>
      <c r="L8" s="7">
        <f>IF(F8=0,"",H8/F8-1)</f>
        <v/>
      </c>
      <c r="M8" s="7">
        <f>IF(F8=0,"",I8/F8-1)</f>
        <v/>
      </c>
    </row>
    <row r="9">
      <c r="A9" s="5" t="inlineStr">
        <is>
          <t>11452103</t>
        </is>
      </c>
      <c r="B9" s="5">
        <f>'توقع المحصل (المراقبة)'!B10</f>
        <v/>
      </c>
      <c r="C9" s="5">
        <f>'توقع المحصل (المراقبة)'!C10</f>
        <v/>
      </c>
      <c r="D9" s="6" t="n">
        <v>224939645.24</v>
      </c>
      <c r="E9" s="6" t="n">
        <v>244582493.3</v>
      </c>
      <c r="F9" s="6" t="n">
        <v>319675274.54</v>
      </c>
      <c r="G9" s="6">
        <f>'توقع المحصل (المراقبة)'!D10</f>
        <v/>
      </c>
      <c r="H9" s="6">
        <f>'توقع المحصل (المراقبة)'!M10</f>
        <v/>
      </c>
      <c r="I9" s="6">
        <f>'توقع المحصل (المراقبة)'!P10</f>
        <v/>
      </c>
      <c r="J9" s="7">
        <f>IF(D9=0,"",E9/D9-1)</f>
        <v/>
      </c>
      <c r="K9" s="7">
        <f>IF(E9=0,"",F9/E9-1)</f>
        <v/>
      </c>
      <c r="L9" s="7">
        <f>IF(F9=0,"",H9/F9-1)</f>
        <v/>
      </c>
      <c r="M9" s="7">
        <f>IF(F9=0,"",I9/F9-1)</f>
        <v/>
      </c>
    </row>
    <row r="10">
      <c r="A10" s="5" t="inlineStr">
        <is>
          <t>11452512</t>
        </is>
      </c>
      <c r="B10" s="5">
        <f>'توقع المحصل (المراقبة)'!B11</f>
        <v/>
      </c>
      <c r="C10" s="5">
        <f>'توقع المحصل (المراقبة)'!C11</f>
        <v/>
      </c>
      <c r="D10" s="6" t="n">
        <v>218503365</v>
      </c>
      <c r="E10" s="6" t="n">
        <v>219218740</v>
      </c>
      <c r="F10" s="6" t="n">
        <v>193830778.44</v>
      </c>
      <c r="G10" s="6">
        <f>'توقع المحصل (المراقبة)'!D11</f>
        <v/>
      </c>
      <c r="H10" s="6">
        <f>'توقع المحصل (المراقبة)'!M11</f>
        <v/>
      </c>
      <c r="I10" s="6">
        <f>'توقع المحصل (المراقبة)'!P11</f>
        <v/>
      </c>
      <c r="J10" s="7">
        <f>IF(D10=0,"",E10/D10-1)</f>
        <v/>
      </c>
      <c r="K10" s="7">
        <f>IF(E10=0,"",F10/E10-1)</f>
        <v/>
      </c>
      <c r="L10" s="7">
        <f>IF(F10=0,"",H10/F10-1)</f>
        <v/>
      </c>
      <c r="M10" s="7">
        <f>IF(F10=0,"",I10/F10-1)</f>
        <v/>
      </c>
    </row>
    <row r="11">
      <c r="A11" s="5" t="inlineStr">
        <is>
          <t>1439</t>
        </is>
      </c>
      <c r="B11" s="5">
        <f>'توقع المحصل (المراقبة)'!B12</f>
        <v/>
      </c>
      <c r="C11" s="5">
        <f>'توقع المحصل (المراقبة)'!C12</f>
        <v/>
      </c>
      <c r="D11" s="6" t="n">
        <v>3537100</v>
      </c>
      <c r="E11" s="6" t="n">
        <v>227000</v>
      </c>
      <c r="F11" s="6" t="n">
        <v>8503508</v>
      </c>
      <c r="G11" s="6">
        <f>'توقع المحصل (المراقبة)'!D12</f>
        <v/>
      </c>
      <c r="H11" s="6">
        <f>'توقع المحصل (المراقبة)'!M12</f>
        <v/>
      </c>
      <c r="I11" s="6">
        <f>'توقع المحصل (المراقبة)'!P12</f>
        <v/>
      </c>
      <c r="J11" s="7">
        <f>IF(D11=0,"",E11/D11-1)</f>
        <v/>
      </c>
      <c r="K11" s="7">
        <f>IF(E11=0,"",F11/E11-1)</f>
        <v/>
      </c>
      <c r="L11" s="7">
        <f>IF(F11=0,"",H11/F11-1)</f>
        <v/>
      </c>
      <c r="M11" s="7">
        <f>IF(F11=0,"",I11/F11-1)</f>
        <v/>
      </c>
    </row>
    <row r="12">
      <c r="A12" s="5" t="inlineStr">
        <is>
          <t>11442</t>
        </is>
      </c>
      <c r="B12" s="5">
        <f>'توقع المحصل (المراقبة)'!B13</f>
        <v/>
      </c>
      <c r="C12" s="5">
        <f>'توقع المحصل (المراقبة)'!C13</f>
        <v/>
      </c>
      <c r="D12" s="6" t="n">
        <v>219905861.19</v>
      </c>
      <c r="E12" s="6" t="n">
        <v>256726800.98</v>
      </c>
      <c r="F12" s="6" t="n">
        <v>199149669.75</v>
      </c>
      <c r="G12" s="6">
        <f>'توقع المحصل (المراقبة)'!D13</f>
        <v/>
      </c>
      <c r="H12" s="6">
        <f>'توقع المحصل (المراقبة)'!M13</f>
        <v/>
      </c>
      <c r="I12" s="6">
        <f>'توقع المحصل (المراقبة)'!P13</f>
        <v/>
      </c>
      <c r="J12" s="7">
        <f>IF(D12=0,"",E12/D12-1)</f>
        <v/>
      </c>
      <c r="K12" s="7">
        <f>IF(E12=0,"",F12/E12-1)</f>
        <v/>
      </c>
      <c r="L12" s="7">
        <f>IF(F12=0,"",H12/F12-1)</f>
        <v/>
      </c>
      <c r="M12" s="7">
        <f>IF(F12=0,"",I12/F12-1)</f>
        <v/>
      </c>
    </row>
    <row r="13">
      <c r="A13" s="5" t="inlineStr">
        <is>
          <t>1421999</t>
        </is>
      </c>
      <c r="B13" s="5">
        <f>'توقع المحصل (المراقبة)'!B14</f>
        <v/>
      </c>
      <c r="C13" s="5">
        <f>'توقع المحصل (المراقبة)'!C14</f>
        <v/>
      </c>
      <c r="D13" s="6" t="n">
        <v>110542302.74</v>
      </c>
      <c r="E13" s="6" t="n">
        <v>106593084.61</v>
      </c>
      <c r="F13" s="6" t="n">
        <v>60096373.96</v>
      </c>
      <c r="G13" s="6">
        <f>'توقع المحصل (المراقبة)'!D14</f>
        <v/>
      </c>
      <c r="H13" s="6">
        <f>'توقع المحصل (المراقبة)'!M14</f>
        <v/>
      </c>
      <c r="I13" s="6">
        <f>'توقع المحصل (المراقبة)'!P14</f>
        <v/>
      </c>
      <c r="J13" s="7">
        <f>IF(D13=0,"",E13/D13-1)</f>
        <v/>
      </c>
      <c r="K13" s="7">
        <f>IF(E13=0,"",F13/E13-1)</f>
        <v/>
      </c>
      <c r="L13" s="7">
        <f>IF(F13=0,"",H13/F13-1)</f>
        <v/>
      </c>
      <c r="M13" s="7">
        <f>IF(F13=0,"",I13/F13-1)</f>
        <v/>
      </c>
    </row>
    <row r="14">
      <c r="A14" s="5" t="inlineStr">
        <is>
          <t>142113</t>
        </is>
      </c>
      <c r="B14" s="5">
        <f>'توقع المحصل (المراقبة)'!B15</f>
        <v/>
      </c>
      <c r="C14" s="5">
        <f>'توقع المحصل (المراقبة)'!C15</f>
        <v/>
      </c>
      <c r="D14" s="6" t="n">
        <v>157946538.8</v>
      </c>
      <c r="E14" s="6" t="n">
        <v>609523702.9299999</v>
      </c>
      <c r="F14" s="6" t="n">
        <v>103589976.04</v>
      </c>
      <c r="G14" s="6">
        <f>'توقع المحصل (المراقبة)'!D15</f>
        <v/>
      </c>
      <c r="H14" s="6">
        <f>'توقع المحصل (المراقبة)'!M15</f>
        <v/>
      </c>
      <c r="I14" s="6">
        <f>'توقع المحصل (المراقبة)'!P15</f>
        <v/>
      </c>
      <c r="J14" s="7">
        <f>IF(D14=0,"",E14/D14-1)</f>
        <v/>
      </c>
      <c r="K14" s="7">
        <f>IF(E14=0,"",F14/E14-1)</f>
        <v/>
      </c>
      <c r="L14" s="7">
        <f>IF(F14=0,"",H14/F14-1)</f>
        <v/>
      </c>
      <c r="M14" s="7">
        <f>IF(F14=0,"",I14/F14-1)</f>
        <v/>
      </c>
    </row>
    <row r="15">
      <c r="A15" s="5" t="inlineStr">
        <is>
          <t>1431</t>
        </is>
      </c>
      <c r="B15" s="5">
        <f>'توقع المحصل (المراقبة)'!B16</f>
        <v/>
      </c>
      <c r="C15" s="5">
        <f>'توقع المحصل (المراقبة)'!C16</f>
        <v/>
      </c>
      <c r="D15" s="6" t="n">
        <v>0</v>
      </c>
      <c r="E15" s="6" t="n">
        <v>0</v>
      </c>
      <c r="F15" s="6" t="n">
        <v>0</v>
      </c>
      <c r="G15" s="6">
        <f>'توقع المحصل (المراقبة)'!D16</f>
        <v/>
      </c>
      <c r="H15" s="6">
        <f>'توقع المحصل (المراقبة)'!M16</f>
        <v/>
      </c>
      <c r="I15" s="6">
        <f>'توقع المحصل (المراقبة)'!P16</f>
        <v/>
      </c>
      <c r="J15" s="7">
        <f>IF(D15=0,"",E15/D15-1)</f>
        <v/>
      </c>
      <c r="K15" s="7">
        <f>IF(E15=0,"",F15/E15-1)</f>
        <v/>
      </c>
      <c r="L15" s="7">
        <f>IF(F15=0,"",H15/F15-1)</f>
        <v/>
      </c>
      <c r="M15" s="7">
        <f>IF(F15=0,"",I15/F15-1)</f>
        <v/>
      </c>
    </row>
    <row r="16">
      <c r="A16" s="5" t="inlineStr">
        <is>
          <t>1421909</t>
        </is>
      </c>
      <c r="B16" s="5">
        <f>'توقع المحصل (المراقبة)'!B17</f>
        <v/>
      </c>
      <c r="C16" s="5">
        <f>'توقع المحصل (المراقبة)'!C17</f>
        <v/>
      </c>
      <c r="D16" s="6" t="n">
        <v>72026385.34999999</v>
      </c>
      <c r="E16" s="6" t="n">
        <v>76106716.86</v>
      </c>
      <c r="F16" s="6" t="n">
        <v>72842923.63</v>
      </c>
      <c r="G16" s="6">
        <f>'توقع المحصل (المراقبة)'!D17</f>
        <v/>
      </c>
      <c r="H16" s="6">
        <f>'توقع المحصل (المراقبة)'!M17</f>
        <v/>
      </c>
      <c r="I16" s="6">
        <f>'توقع المحصل (المراقبة)'!P17</f>
        <v/>
      </c>
      <c r="J16" s="7">
        <f>IF(D16=0,"",E16/D16-1)</f>
        <v/>
      </c>
      <c r="K16" s="7">
        <f>IF(E16=0,"",F16/E16-1)</f>
        <v/>
      </c>
      <c r="L16" s="7">
        <f>IF(F16=0,"",H16/F16-1)</f>
        <v/>
      </c>
      <c r="M16" s="7">
        <f>IF(F16=0,"",I16/F16-1)</f>
        <v/>
      </c>
    </row>
    <row r="17">
      <c r="A17" s="5" t="inlineStr">
        <is>
          <t>1421911</t>
        </is>
      </c>
      <c r="B17" s="5">
        <f>'توقع المحصل (المراقبة)'!B18</f>
        <v/>
      </c>
      <c r="C17" s="5">
        <f>'توقع المحصل (المراقبة)'!C18</f>
        <v/>
      </c>
      <c r="D17" s="6" t="n">
        <v>65864668.18</v>
      </c>
      <c r="E17" s="6" t="n">
        <v>79278364.97</v>
      </c>
      <c r="F17" s="6" t="n">
        <v>67630101.28</v>
      </c>
      <c r="G17" s="6">
        <f>'توقع المحصل (المراقبة)'!D18</f>
        <v/>
      </c>
      <c r="H17" s="6">
        <f>'توقع المحصل (المراقبة)'!M18</f>
        <v/>
      </c>
      <c r="I17" s="6">
        <f>'توقع المحصل (المراقبة)'!P18</f>
        <v/>
      </c>
      <c r="J17" s="7">
        <f>IF(D17=0,"",E17/D17-1)</f>
        <v/>
      </c>
      <c r="K17" s="7">
        <f>IF(E17=0,"",F17/E17-1)</f>
        <v/>
      </c>
      <c r="L17" s="7">
        <f>IF(F17=0,"",H17/F17-1)</f>
        <v/>
      </c>
      <c r="M17" s="7">
        <f>IF(F17=0,"",I17/F17-1)</f>
        <v/>
      </c>
    </row>
    <row r="18">
      <c r="A18" s="5" t="inlineStr">
        <is>
          <t>144122</t>
        </is>
      </c>
      <c r="B18" s="5">
        <f>'توقع المحصل (المراقبة)'!B19</f>
        <v/>
      </c>
      <c r="C18" s="5">
        <f>'توقع المحصل (المراقبة)'!C19</f>
        <v/>
      </c>
      <c r="D18" s="6" t="n">
        <v>8992323.98</v>
      </c>
      <c r="E18" s="6" t="n">
        <v>8297789.75</v>
      </c>
      <c r="F18" s="6" t="n">
        <v>2477531.42</v>
      </c>
      <c r="G18" s="6">
        <f>'توقع المحصل (المراقبة)'!D19</f>
        <v/>
      </c>
      <c r="H18" s="6">
        <f>'توقع المحصل (المراقبة)'!M19</f>
        <v/>
      </c>
      <c r="I18" s="6">
        <f>'توقع المحصل (المراقبة)'!P19</f>
        <v/>
      </c>
      <c r="J18" s="7">
        <f>IF(D18=0,"",E18/D18-1)</f>
        <v/>
      </c>
      <c r="K18" s="7">
        <f>IF(E18=0,"",F18/E18-1)</f>
        <v/>
      </c>
      <c r="L18" s="7">
        <f>IF(F18=0,"",H18/F18-1)</f>
        <v/>
      </c>
      <c r="M18" s="7">
        <f>IF(F18=0,"",I18/F18-1)</f>
        <v/>
      </c>
    </row>
    <row r="19">
      <c r="A19" s="5" t="inlineStr">
        <is>
          <t>11452108</t>
        </is>
      </c>
      <c r="B19" s="5">
        <f>'توقع المحصل (المراقبة)'!B20</f>
        <v/>
      </c>
      <c r="C19" s="5">
        <f>'توقع المحصل (المراقبة)'!C20</f>
        <v/>
      </c>
      <c r="D19" s="6" t="n">
        <v>4316211.89</v>
      </c>
      <c r="E19" s="6" t="n">
        <v>19339697.82</v>
      </c>
      <c r="F19" s="6" t="n">
        <v>24531493.81</v>
      </c>
      <c r="G19" s="6">
        <f>'توقع المحصل (المراقبة)'!D20</f>
        <v/>
      </c>
      <c r="H19" s="6">
        <f>'توقع المحصل (المراقبة)'!M20</f>
        <v/>
      </c>
      <c r="I19" s="6">
        <f>'توقع المحصل (المراقبة)'!P20</f>
        <v/>
      </c>
      <c r="J19" s="7">
        <f>IF(D19=0,"",E19/D19-1)</f>
        <v/>
      </c>
      <c r="K19" s="7">
        <f>IF(E19=0,"",F19/E19-1)</f>
        <v/>
      </c>
      <c r="L19" s="7">
        <f>IF(F19=0,"",H19/F19-1)</f>
        <v/>
      </c>
      <c r="M19" s="7">
        <f>IF(F19=0,"",I19/F19-1)</f>
        <v/>
      </c>
    </row>
    <row r="20">
      <c r="A20" s="5" t="inlineStr">
        <is>
          <t>1422108</t>
        </is>
      </c>
      <c r="B20" s="5">
        <f>'توقع المحصل (المراقبة)'!B21</f>
        <v/>
      </c>
      <c r="C20" s="5">
        <f>'توقع المحصل (المراقبة)'!C21</f>
        <v/>
      </c>
      <c r="D20" s="6" t="n">
        <v>20767064.19</v>
      </c>
      <c r="E20" s="6" t="n">
        <v>12367178.86</v>
      </c>
      <c r="F20" s="6" t="n">
        <v>26098550.07</v>
      </c>
      <c r="G20" s="6">
        <f>'توقع المحصل (المراقبة)'!D21</f>
        <v/>
      </c>
      <c r="H20" s="6">
        <f>'توقع المحصل (المراقبة)'!M21</f>
        <v/>
      </c>
      <c r="I20" s="6">
        <f>'توقع المحصل (المراقبة)'!P21</f>
        <v/>
      </c>
      <c r="J20" s="7">
        <f>IF(D20=0,"",E20/D20-1)</f>
        <v/>
      </c>
      <c r="K20" s="7">
        <f>IF(E20=0,"",F20/E20-1)</f>
        <v/>
      </c>
      <c r="L20" s="7">
        <f>IF(F20=0,"",H20/F20-1)</f>
        <v/>
      </c>
      <c r="M20" s="7">
        <f>IF(F20=0,"",I20/F20-1)</f>
        <v/>
      </c>
    </row>
    <row r="21">
      <c r="A21" s="5" t="inlineStr">
        <is>
          <t>1422121</t>
        </is>
      </c>
      <c r="B21" s="5">
        <f>'توقع المحصل (المراقبة)'!B22</f>
        <v/>
      </c>
      <c r="C21" s="5">
        <f>'توقع المحصل (المراقبة)'!C22</f>
        <v/>
      </c>
      <c r="D21" s="6" t="n">
        <v>13322800</v>
      </c>
      <c r="E21" s="6" t="n">
        <v>17925000</v>
      </c>
      <c r="F21" s="6" t="n">
        <v>15681460.95</v>
      </c>
      <c r="G21" s="6">
        <f>'توقع المحصل (المراقبة)'!D22</f>
        <v/>
      </c>
      <c r="H21" s="6">
        <f>'توقع المحصل (المراقبة)'!M22</f>
        <v/>
      </c>
      <c r="I21" s="6">
        <f>'توقع المحصل (المراقبة)'!P22</f>
        <v/>
      </c>
      <c r="J21" s="7">
        <f>IF(D21=0,"",E21/D21-1)</f>
        <v/>
      </c>
      <c r="K21" s="7">
        <f>IF(E21=0,"",F21/E21-1)</f>
        <v/>
      </c>
      <c r="L21" s="7">
        <f>IF(F21=0,"",H21/F21-1)</f>
        <v/>
      </c>
      <c r="M21" s="7">
        <f>IF(F21=0,"",I21/F21-1)</f>
        <v/>
      </c>
    </row>
    <row r="22">
      <c r="A22" s="5" t="inlineStr">
        <is>
          <t>11452111</t>
        </is>
      </c>
      <c r="B22" s="5">
        <f>'توقع المحصل (المراقبة)'!B23</f>
        <v/>
      </c>
      <c r="C22" s="5">
        <f>'توقع المحصل (المراقبة)'!C23</f>
        <v/>
      </c>
      <c r="D22" s="6" t="n">
        <v>6031956.09</v>
      </c>
      <c r="E22" s="6" t="n">
        <v>5166690.6</v>
      </c>
      <c r="F22" s="6" t="n">
        <v>5751371.82</v>
      </c>
      <c r="G22" s="6">
        <f>'توقع المحصل (المراقبة)'!D23</f>
        <v/>
      </c>
      <c r="H22" s="6">
        <f>'توقع المحصل (المراقبة)'!M23</f>
        <v/>
      </c>
      <c r="I22" s="6">
        <f>'توقع المحصل (المراقبة)'!P23</f>
        <v/>
      </c>
      <c r="J22" s="7">
        <f>IF(D22=0,"",E22/D22-1)</f>
        <v/>
      </c>
      <c r="K22" s="7">
        <f>IF(E22=0,"",F22/E22-1)</f>
        <v/>
      </c>
      <c r="L22" s="7">
        <f>IF(F22=0,"",H22/F22-1)</f>
        <v/>
      </c>
      <c r="M22" s="7">
        <f>IF(F22=0,"",I22/F22-1)</f>
        <v/>
      </c>
    </row>
    <row r="23">
      <c r="A23" s="5" t="inlineStr">
        <is>
          <t>142163</t>
        </is>
      </c>
      <c r="B23" s="5">
        <f>'توقع المحصل (المراقبة)'!B24</f>
        <v/>
      </c>
      <c r="C23" s="5">
        <f>'توقع المحصل (المراقبة)'!C24</f>
        <v/>
      </c>
      <c r="D23" s="6" t="n">
        <v>6866663.43</v>
      </c>
      <c r="E23" s="6" t="n">
        <v>6179302.5</v>
      </c>
      <c r="F23" s="6" t="n">
        <v>3001651.75</v>
      </c>
      <c r="G23" s="6">
        <f>'توقع المحصل (المراقبة)'!D24</f>
        <v/>
      </c>
      <c r="H23" s="6">
        <f>'توقع المحصل (المراقبة)'!M24</f>
        <v/>
      </c>
      <c r="I23" s="6">
        <f>'توقع المحصل (المراقبة)'!P24</f>
        <v/>
      </c>
      <c r="J23" s="7">
        <f>IF(D23=0,"",E23/D23-1)</f>
        <v/>
      </c>
      <c r="K23" s="7">
        <f>IF(E23=0,"",F23/E23-1)</f>
        <v/>
      </c>
      <c r="L23" s="7">
        <f>IF(F23=0,"",H23/F23-1)</f>
        <v/>
      </c>
      <c r="M23" s="7">
        <f>IF(F23=0,"",I23/F23-1)</f>
        <v/>
      </c>
    </row>
    <row r="24">
      <c r="A24" s="5" t="inlineStr">
        <is>
          <t>1422109</t>
        </is>
      </c>
      <c r="B24" s="5">
        <f>'توقع المحصل (المراقبة)'!B25</f>
        <v/>
      </c>
      <c r="C24" s="5">
        <f>'توقع المحصل (المراقبة)'!C25</f>
        <v/>
      </c>
      <c r="D24" s="6" t="n">
        <v>9211384.77</v>
      </c>
      <c r="E24" s="6" t="n">
        <v>8995823.25</v>
      </c>
      <c r="F24" s="6" t="n">
        <v>7132142.91</v>
      </c>
      <c r="G24" s="6">
        <f>'توقع المحصل (المراقبة)'!D25</f>
        <v/>
      </c>
      <c r="H24" s="6">
        <f>'توقع المحصل (المراقبة)'!M25</f>
        <v/>
      </c>
      <c r="I24" s="6">
        <f>'توقع المحصل (المراقبة)'!P25</f>
        <v/>
      </c>
      <c r="J24" s="7">
        <f>IF(D24=0,"",E24/D24-1)</f>
        <v/>
      </c>
      <c r="K24" s="7">
        <f>IF(E24=0,"",F24/E24-1)</f>
        <v/>
      </c>
      <c r="L24" s="7">
        <f>IF(F24=0,"",H24/F24-1)</f>
        <v/>
      </c>
      <c r="M24" s="7">
        <f>IF(F24=0,"",I24/F24-1)</f>
        <v/>
      </c>
    </row>
    <row r="25">
      <c r="A25" s="5" t="inlineStr">
        <is>
          <t>1422202</t>
        </is>
      </c>
      <c r="B25" s="5">
        <f>'توقع المحصل (المراقبة)'!B26</f>
        <v/>
      </c>
      <c r="C25" s="5">
        <f>'توقع المحصل (المراقبة)'!C26</f>
        <v/>
      </c>
      <c r="D25" s="6" t="n">
        <v>0</v>
      </c>
      <c r="E25" s="6" t="n">
        <v>0</v>
      </c>
      <c r="F25" s="6" t="n">
        <v>0</v>
      </c>
      <c r="G25" s="6">
        <f>'توقع المحصل (المراقبة)'!D26</f>
        <v/>
      </c>
      <c r="H25" s="6">
        <f>'توقع المحصل (المراقبة)'!M26</f>
        <v/>
      </c>
      <c r="I25" s="6">
        <f>'توقع المحصل (المراقبة)'!P26</f>
        <v/>
      </c>
      <c r="J25" s="7">
        <f>IF(D25=0,"",E25/D25-1)</f>
        <v/>
      </c>
      <c r="K25" s="7">
        <f>IF(E25=0,"",F25/E25-1)</f>
        <v/>
      </c>
      <c r="L25" s="7">
        <f>IF(F25=0,"",H25/F25-1)</f>
        <v/>
      </c>
      <c r="M25" s="7">
        <f>IF(F25=0,"",I25/F25-1)</f>
        <v/>
      </c>
    </row>
    <row r="26">
      <c r="A26" s="5" t="inlineStr">
        <is>
          <t>1421910</t>
        </is>
      </c>
      <c r="B26" s="5">
        <f>'توقع المحصل (المراقبة)'!B27</f>
        <v/>
      </c>
      <c r="C26" s="5">
        <f>'توقع المحصل (المراقبة)'!C27</f>
        <v/>
      </c>
      <c r="D26" s="6" t="n">
        <v>3828676.61</v>
      </c>
      <c r="E26" s="6" t="n">
        <v>2909412.61</v>
      </c>
      <c r="F26" s="6" t="n">
        <v>3477675.2</v>
      </c>
      <c r="G26" s="6">
        <f>'توقع المحصل (المراقبة)'!D27</f>
        <v/>
      </c>
      <c r="H26" s="6">
        <f>'توقع المحصل (المراقبة)'!M27</f>
        <v/>
      </c>
      <c r="I26" s="6">
        <f>'توقع المحصل (المراقبة)'!P27</f>
        <v/>
      </c>
      <c r="J26" s="7">
        <f>IF(D26=0,"",E26/D26-1)</f>
        <v/>
      </c>
      <c r="K26" s="7">
        <f>IF(E26=0,"",F26/E26-1)</f>
        <v/>
      </c>
      <c r="L26" s="7">
        <f>IF(F26=0,"",H26/F26-1)</f>
        <v/>
      </c>
      <c r="M26" s="7">
        <f>IF(F26=0,"",I26/F26-1)</f>
        <v/>
      </c>
    </row>
    <row r="27">
      <c r="A27" s="5" t="inlineStr">
        <is>
          <t>11452107</t>
        </is>
      </c>
      <c r="B27" s="5">
        <f>'توقع المحصل (المراقبة)'!B28</f>
        <v/>
      </c>
      <c r="C27" s="5">
        <f>'توقع المحصل (المراقبة)'!C28</f>
        <v/>
      </c>
      <c r="D27" s="6" t="n">
        <v>54000</v>
      </c>
      <c r="E27" s="6" t="n">
        <v>90000</v>
      </c>
      <c r="F27" s="6" t="n">
        <v>229800</v>
      </c>
      <c r="G27" s="6">
        <f>'توقع المحصل (المراقبة)'!D28</f>
        <v/>
      </c>
      <c r="H27" s="6">
        <f>'توقع المحصل (المراقبة)'!M28</f>
        <v/>
      </c>
      <c r="I27" s="6">
        <f>'توقع المحصل (المراقبة)'!P28</f>
        <v/>
      </c>
      <c r="J27" s="7">
        <f>IF(D27=0,"",E27/D27-1)</f>
        <v/>
      </c>
      <c r="K27" s="7">
        <f>IF(E27=0,"",F27/E27-1)</f>
        <v/>
      </c>
      <c r="L27" s="7">
        <f>IF(F27=0,"",H27/F27-1)</f>
        <v/>
      </c>
      <c r="M27" s="7">
        <f>IF(F27=0,"",I27/F27-1)</f>
        <v/>
      </c>
    </row>
    <row r="28">
      <c r="A28" s="5" t="inlineStr">
        <is>
          <t>1421901</t>
        </is>
      </c>
      <c r="B28" s="5">
        <f>'توقع المحصل (المراقبة)'!B29</f>
        <v/>
      </c>
      <c r="C28" s="5">
        <f>'توقع المحصل (المراقبة)'!C29</f>
        <v/>
      </c>
      <c r="D28" s="6" t="n">
        <v>2928906</v>
      </c>
      <c r="E28" s="6" t="n">
        <v>2736595</v>
      </c>
      <c r="F28" s="6" t="n">
        <v>2512377</v>
      </c>
      <c r="G28" s="6">
        <f>'توقع المحصل (المراقبة)'!D29</f>
        <v/>
      </c>
      <c r="H28" s="6">
        <f>'توقع المحصل (المراقبة)'!M29</f>
        <v/>
      </c>
      <c r="I28" s="6">
        <f>'توقع المحصل (المراقبة)'!P29</f>
        <v/>
      </c>
      <c r="J28" s="7">
        <f>IF(D28=0,"",E28/D28-1)</f>
        <v/>
      </c>
      <c r="K28" s="7">
        <f>IF(E28=0,"",F28/E28-1)</f>
        <v/>
      </c>
      <c r="L28" s="7">
        <f>IF(F28=0,"",H28/F28-1)</f>
        <v/>
      </c>
      <c r="M28" s="7">
        <f>IF(F28=0,"",I28/F28-1)</f>
        <v/>
      </c>
    </row>
    <row r="29">
      <c r="A29" s="5" t="inlineStr">
        <is>
          <t>بدون رقم</t>
        </is>
      </c>
      <c r="B29" s="5">
        <f>'توقع المحصل (المراقبة)'!B30</f>
        <v/>
      </c>
      <c r="C29" s="5">
        <f>'توقع المحصل (المراقبة)'!C30</f>
        <v/>
      </c>
      <c r="D29" s="6" t="n">
        <v>4815218.75</v>
      </c>
      <c r="E29" s="6" t="n">
        <v>14256546.25</v>
      </c>
      <c r="F29" s="6" t="n">
        <v>21814890</v>
      </c>
      <c r="G29" s="6">
        <f>'توقع المحصل (المراقبة)'!D30</f>
        <v/>
      </c>
      <c r="H29" s="6">
        <f>'توقع المحصل (المراقبة)'!M30</f>
        <v/>
      </c>
      <c r="I29" s="6">
        <f>'توقع المحصل (المراقبة)'!P30</f>
        <v/>
      </c>
      <c r="J29" s="7">
        <f>IF(D29=0,"",E29/D29-1)</f>
        <v/>
      </c>
      <c r="K29" s="7">
        <f>IF(E29=0,"",F29/E29-1)</f>
        <v/>
      </c>
      <c r="L29" s="7">
        <f>IF(F29=0,"",H29/F29-1)</f>
        <v/>
      </c>
      <c r="M29" s="7">
        <f>IF(F29=0,"",I29/F29-1)</f>
        <v/>
      </c>
    </row>
    <row r="30">
      <c r="A30" s="5" t="inlineStr">
        <is>
          <t>1421912</t>
        </is>
      </c>
      <c r="B30" s="5">
        <f>'توقع المحصل (المراقبة)'!B31</f>
        <v/>
      </c>
      <c r="C30" s="5">
        <f>'توقع المحصل (المراقبة)'!C31</f>
        <v/>
      </c>
      <c r="D30" s="6" t="n">
        <v>838420.1899999999</v>
      </c>
      <c r="E30" s="6" t="n">
        <v>2043840.5</v>
      </c>
      <c r="F30" s="6" t="n">
        <v>2454143.51</v>
      </c>
      <c r="G30" s="6">
        <f>'توقع المحصل (المراقبة)'!D31</f>
        <v/>
      </c>
      <c r="H30" s="6">
        <f>'توقع المحصل (المراقبة)'!M31</f>
        <v/>
      </c>
      <c r="I30" s="6">
        <f>'توقع المحصل (المراقبة)'!P31</f>
        <v/>
      </c>
      <c r="J30" s="7">
        <f>IF(D30=0,"",E30/D30-1)</f>
        <v/>
      </c>
      <c r="K30" s="7">
        <f>IF(E30=0,"",F30/E30-1)</f>
        <v/>
      </c>
      <c r="L30" s="7">
        <f>IF(F30=0,"",H30/F30-1)</f>
        <v/>
      </c>
      <c r="M30" s="7">
        <f>IF(F30=0,"",I30/F30-1)</f>
        <v/>
      </c>
    </row>
    <row r="31">
      <c r="A31" s="5" t="inlineStr">
        <is>
          <t>11452106</t>
        </is>
      </c>
      <c r="B31" s="5">
        <f>'توقع المحصل (المراقبة)'!B32</f>
        <v/>
      </c>
      <c r="C31" s="5">
        <f>'توقع المحصل (المراقبة)'!C32</f>
        <v/>
      </c>
      <c r="D31" s="6" t="n">
        <v>845300</v>
      </c>
      <c r="E31" s="6" t="n">
        <v>1408700</v>
      </c>
      <c r="F31" s="6" t="n">
        <v>1275300</v>
      </c>
      <c r="G31" s="6">
        <f>'توقع المحصل (المراقبة)'!D32</f>
        <v/>
      </c>
      <c r="H31" s="6">
        <f>'توقع المحصل (المراقبة)'!M32</f>
        <v/>
      </c>
      <c r="I31" s="6">
        <f>'توقع المحصل (المراقبة)'!P32</f>
        <v/>
      </c>
      <c r="J31" s="7">
        <f>IF(D31=0,"",E31/D31-1)</f>
        <v/>
      </c>
      <c r="K31" s="7">
        <f>IF(E31=0,"",F31/E31-1)</f>
        <v/>
      </c>
      <c r="L31" s="7">
        <f>IF(F31=0,"",H31/F31-1)</f>
        <v/>
      </c>
      <c r="M31" s="7">
        <f>IF(F31=0,"",I31/F31-1)</f>
        <v/>
      </c>
    </row>
    <row r="32">
      <c r="A32" s="5" t="inlineStr">
        <is>
          <t>11452110</t>
        </is>
      </c>
      <c r="B32" s="5">
        <f>'توقع المحصل (المراقبة)'!B33</f>
        <v/>
      </c>
      <c r="C32" s="5">
        <f>'توقع المحصل (المراقبة)'!C33</f>
        <v/>
      </c>
      <c r="D32" s="6" t="n">
        <v>609446.45</v>
      </c>
      <c r="E32" s="6" t="n">
        <v>1038687.25</v>
      </c>
      <c r="F32" s="6" t="n">
        <v>809215.9</v>
      </c>
      <c r="G32" s="6">
        <f>'توقع المحصل (المراقبة)'!D33</f>
        <v/>
      </c>
      <c r="H32" s="6">
        <f>'توقع المحصل (المراقبة)'!M33</f>
        <v/>
      </c>
      <c r="I32" s="6">
        <f>'توقع المحصل (المراقبة)'!P33</f>
        <v/>
      </c>
      <c r="J32" s="7">
        <f>IF(D32=0,"",E32/D32-1)</f>
        <v/>
      </c>
      <c r="K32" s="7">
        <f>IF(E32=0,"",F32/E32-1)</f>
        <v/>
      </c>
      <c r="L32" s="7">
        <f>IF(F32=0,"",H32/F32-1)</f>
        <v/>
      </c>
      <c r="M32" s="7">
        <f>IF(F32=0,"",I32/F32-1)</f>
        <v/>
      </c>
    </row>
    <row r="33">
      <c r="A33" s="5" t="inlineStr">
        <is>
          <t>1422104</t>
        </is>
      </c>
      <c r="B33" s="5">
        <f>'توقع المحصل (المراقبة)'!B34</f>
        <v/>
      </c>
      <c r="C33" s="5">
        <f>'توقع المحصل (المراقبة)'!C34</f>
        <v/>
      </c>
      <c r="D33" s="6" t="n">
        <v>0</v>
      </c>
      <c r="E33" s="6" t="n">
        <v>0</v>
      </c>
      <c r="F33" s="6" t="n">
        <v>0</v>
      </c>
      <c r="G33" s="6">
        <f>'توقع المحصل (المراقبة)'!D34</f>
        <v/>
      </c>
      <c r="H33" s="6">
        <f>'توقع المحصل (المراقبة)'!M34</f>
        <v/>
      </c>
      <c r="I33" s="6">
        <f>'توقع المحصل (المراقبة)'!P34</f>
        <v/>
      </c>
      <c r="J33" s="7">
        <f>IF(D33=0,"",E33/D33-1)</f>
        <v/>
      </c>
      <c r="K33" s="7">
        <f>IF(E33=0,"",F33/E33-1)</f>
        <v/>
      </c>
      <c r="L33" s="7">
        <f>IF(F33=0,"",H33/F33-1)</f>
        <v/>
      </c>
      <c r="M33" s="7">
        <f>IF(F33=0,"",I33/F33-1)</f>
        <v/>
      </c>
    </row>
    <row r="34">
      <c r="A34" s="5" t="inlineStr">
        <is>
          <t>3318212</t>
        </is>
      </c>
      <c r="B34" s="5">
        <f>'توقع المحصل (المراقبة)'!B35</f>
        <v/>
      </c>
      <c r="C34" s="5">
        <f>'توقع المحصل (المراقبة)'!C35</f>
        <v/>
      </c>
      <c r="D34" s="6" t="n">
        <v>0</v>
      </c>
      <c r="E34" s="6" t="n">
        <v>0</v>
      </c>
      <c r="F34" s="6" t="n">
        <v>152767.79</v>
      </c>
      <c r="G34" s="6">
        <f>'توقع المحصل (المراقبة)'!D35</f>
        <v/>
      </c>
      <c r="H34" s="6">
        <f>'توقع المحصل (المراقبة)'!M35</f>
        <v/>
      </c>
      <c r="I34" s="6">
        <f>'توقع المحصل (المراقبة)'!P35</f>
        <v/>
      </c>
      <c r="J34" s="7">
        <f>IF(D34=0,"",E34/D34-1)</f>
        <v/>
      </c>
      <c r="K34" s="7">
        <f>IF(E34=0,"",F34/E34-1)</f>
        <v/>
      </c>
      <c r="L34" s="7">
        <f>IF(F34=0,"",H34/F34-1)</f>
        <v/>
      </c>
      <c r="M34" s="7">
        <f>IF(F34=0,"",I34/F34-1)</f>
        <v/>
      </c>
    </row>
    <row r="35">
      <c r="A35" s="5" t="inlineStr">
        <is>
          <t>1421903</t>
        </is>
      </c>
      <c r="B35" s="5">
        <f>'توقع المحصل (المراقبة)'!B36</f>
        <v/>
      </c>
      <c r="C35" s="5">
        <f>'توقع المحصل (المراقبة)'!C36</f>
        <v/>
      </c>
      <c r="D35" s="6" t="n">
        <v>0</v>
      </c>
      <c r="E35" s="6" t="n">
        <v>0</v>
      </c>
      <c r="F35" s="6" t="n">
        <v>1464687.1</v>
      </c>
      <c r="G35" s="6">
        <f>'توقع المحصل (المراقبة)'!D36</f>
        <v/>
      </c>
      <c r="H35" s="6">
        <f>'توقع المحصل (المراقبة)'!M36</f>
        <v/>
      </c>
      <c r="I35" s="6">
        <f>'توقع المحصل (المراقبة)'!P36</f>
        <v/>
      </c>
      <c r="J35" s="7">
        <f>IF(D35=0,"",E35/D35-1)</f>
        <v/>
      </c>
      <c r="K35" s="7">
        <f>IF(E35=0,"",F35/E35-1)</f>
        <v/>
      </c>
      <c r="L35" s="7">
        <f>IF(F35=0,"",H35/F35-1)</f>
        <v/>
      </c>
      <c r="M35" s="7">
        <f>IF(F35=0,"",I35/F35-1)</f>
        <v/>
      </c>
    </row>
    <row r="36">
      <c r="A36" s="5" t="inlineStr">
        <is>
          <t>141229</t>
        </is>
      </c>
      <c r="B36" s="5">
        <f>'توقع المحصل (المراقبة)'!B37</f>
        <v/>
      </c>
      <c r="C36" s="5">
        <f>'توقع المحصل (المراقبة)'!C37</f>
        <v/>
      </c>
      <c r="D36" s="6" t="n">
        <v>910572</v>
      </c>
      <c r="E36" s="6" t="n">
        <v>2120000</v>
      </c>
      <c r="F36" s="6" t="n">
        <v>30000</v>
      </c>
      <c r="G36" s="6">
        <f>'توقع المحصل (المراقبة)'!D37</f>
        <v/>
      </c>
      <c r="H36" s="6">
        <f>'توقع المحصل (المراقبة)'!M37</f>
        <v/>
      </c>
      <c r="I36" s="6">
        <f>'توقع المحصل (المراقبة)'!P37</f>
        <v/>
      </c>
      <c r="J36" s="7">
        <f>IF(D36=0,"",E36/D36-1)</f>
        <v/>
      </c>
      <c r="K36" s="7">
        <f>IF(E36=0,"",F36/E36-1)</f>
        <v/>
      </c>
      <c r="L36" s="7">
        <f>IF(F36=0,"",H36/F36-1)</f>
        <v/>
      </c>
      <c r="M36" s="7">
        <f>IF(F36=0,"",I36/F36-1)</f>
        <v/>
      </c>
    </row>
    <row r="37">
      <c r="A37" s="5" t="inlineStr">
        <is>
          <t>1438</t>
        </is>
      </c>
      <c r="B37" s="5">
        <f>'توقع المحصل (المراقبة)'!B38</f>
        <v/>
      </c>
      <c r="C37" s="5">
        <f>'توقع المحصل (المراقبة)'!C38</f>
        <v/>
      </c>
      <c r="D37" s="6" t="n">
        <v>4544553</v>
      </c>
      <c r="E37" s="6" t="n">
        <v>486100</v>
      </c>
      <c r="F37" s="6" t="n">
        <v>352900</v>
      </c>
      <c r="G37" s="6">
        <f>'توقع المحصل (المراقبة)'!D38</f>
        <v/>
      </c>
      <c r="H37" s="6">
        <f>'توقع المحصل (المراقبة)'!M38</f>
        <v/>
      </c>
      <c r="I37" s="6">
        <f>'توقع المحصل (المراقبة)'!P38</f>
        <v/>
      </c>
      <c r="J37" s="7">
        <f>IF(D37=0,"",E37/D37-1)</f>
        <v/>
      </c>
      <c r="K37" s="7">
        <f>IF(E37=0,"",F37/E37-1)</f>
        <v/>
      </c>
      <c r="L37" s="7">
        <f>IF(F37=0,"",H37/F37-1)</f>
        <v/>
      </c>
      <c r="M37" s="7">
        <f>IF(F37=0,"",I37/F37-1)</f>
        <v/>
      </c>
    </row>
    <row r="38">
      <c r="A38" s="5" t="inlineStr">
        <is>
          <t>1421907</t>
        </is>
      </c>
      <c r="B38" s="5">
        <f>'توقع المحصل (المراقبة)'!B39</f>
        <v/>
      </c>
      <c r="C38" s="5">
        <f>'توقع المحصل (المراقبة)'!C39</f>
        <v/>
      </c>
      <c r="D38" s="6" t="n">
        <v>0</v>
      </c>
      <c r="E38" s="6" t="n">
        <v>0</v>
      </c>
      <c r="F38" s="6" t="n">
        <v>20650</v>
      </c>
      <c r="G38" s="6">
        <f>'توقع المحصل (المراقبة)'!D39</f>
        <v/>
      </c>
      <c r="H38" s="6">
        <f>'توقع المحصل (المراقبة)'!M39</f>
        <v/>
      </c>
      <c r="I38" s="6">
        <f>'توقع المحصل (المراقبة)'!P39</f>
        <v/>
      </c>
      <c r="J38" s="7">
        <f>IF(D38=0,"",E38/D38-1)</f>
        <v/>
      </c>
      <c r="K38" s="7">
        <f>IF(E38=0,"",F38/E38-1)</f>
        <v/>
      </c>
      <c r="L38" s="7">
        <f>IF(F38=0,"",H38/F38-1)</f>
        <v/>
      </c>
      <c r="M38" s="7">
        <f>IF(F38=0,"",I38/F38-1)</f>
        <v/>
      </c>
    </row>
    <row r="39">
      <c r="A39" s="5" t="inlineStr">
        <is>
          <t>11452105</t>
        </is>
      </c>
      <c r="B39" s="5">
        <f>'توقع المحصل (المراقبة)'!B40</f>
        <v/>
      </c>
      <c r="C39" s="5">
        <f>'توقع المحصل (المراقبة)'!C40</f>
        <v/>
      </c>
      <c r="D39" s="6" t="n">
        <v>66558861.24</v>
      </c>
      <c r="E39" s="6" t="n">
        <v>65200590.52</v>
      </c>
      <c r="F39" s="6" t="n">
        <v>590915.4300000001</v>
      </c>
      <c r="G39" s="6">
        <f>'توقع المحصل (المراقبة)'!D40</f>
        <v/>
      </c>
      <c r="H39" s="6">
        <f>'توقع المحصل (المراقبة)'!M40</f>
        <v/>
      </c>
      <c r="I39" s="6">
        <f>'توقع المحصل (المراقبة)'!P40</f>
        <v/>
      </c>
      <c r="J39" s="7">
        <f>IF(D39=0,"",E39/D39-1)</f>
        <v/>
      </c>
      <c r="K39" s="7">
        <f>IF(E39=0,"",F39/E39-1)</f>
        <v/>
      </c>
      <c r="L39" s="7">
        <f>IF(F39=0,"",H39/F39-1)</f>
        <v/>
      </c>
      <c r="M39" s="7">
        <f>IF(F39=0,"",I39/F39-1)</f>
        <v/>
      </c>
    </row>
    <row r="40">
      <c r="A40" s="5" t="inlineStr">
        <is>
          <t>11452513</t>
        </is>
      </c>
      <c r="B40" s="5">
        <f>'توقع المحصل (المراقبة)'!B41</f>
        <v/>
      </c>
      <c r="C40" s="5">
        <f>'توقع المحصل (المراقبة)'!C41</f>
        <v/>
      </c>
      <c r="D40" s="6" t="n">
        <v>55525</v>
      </c>
      <c r="E40" s="6" t="n">
        <v>12875</v>
      </c>
      <c r="F40" s="6" t="n">
        <v>9000</v>
      </c>
      <c r="G40" s="6">
        <f>'توقع المحصل (المراقبة)'!D41</f>
        <v/>
      </c>
      <c r="H40" s="6">
        <f>'توقع المحصل (المراقبة)'!M41</f>
        <v/>
      </c>
      <c r="I40" s="6">
        <f>'توقع المحصل (المراقبة)'!P41</f>
        <v/>
      </c>
      <c r="J40" s="7">
        <f>IF(D40=0,"",E40/D40-1)</f>
        <v/>
      </c>
      <c r="K40" s="7">
        <f>IF(E40=0,"",F40/E40-1)</f>
        <v/>
      </c>
      <c r="L40" s="7">
        <f>IF(F40=0,"",H40/F40-1)</f>
        <v/>
      </c>
      <c r="M40" s="7">
        <f>IF(F40=0,"",I40/F40-1)</f>
        <v/>
      </c>
    </row>
    <row r="41">
      <c r="A41" s="5" t="inlineStr">
        <is>
          <t>1422103</t>
        </is>
      </c>
      <c r="B41" s="5">
        <f>'توقع المحصل (المراقبة)'!B42</f>
        <v/>
      </c>
      <c r="C41" s="5">
        <f>'توقع المحصل (المراقبة)'!C42</f>
        <v/>
      </c>
      <c r="D41" s="6" t="n">
        <v>67711.60000000001</v>
      </c>
      <c r="E41" s="6" t="n">
        <v>16269.6</v>
      </c>
      <c r="F41" s="6" t="n">
        <v>1603.2</v>
      </c>
      <c r="G41" s="6">
        <f>'توقع المحصل (المراقبة)'!D42</f>
        <v/>
      </c>
      <c r="H41" s="6">
        <f>'توقع المحصل (المراقبة)'!M42</f>
        <v/>
      </c>
      <c r="I41" s="6">
        <f>'توقع المحصل (المراقبة)'!P42</f>
        <v/>
      </c>
      <c r="J41" s="7">
        <f>IF(D41=0,"",E41/D41-1)</f>
        <v/>
      </c>
      <c r="K41" s="7">
        <f>IF(E41=0,"",F41/E41-1)</f>
        <v/>
      </c>
      <c r="L41" s="7">
        <f>IF(F41=0,"",H41/F41-1)</f>
        <v/>
      </c>
      <c r="M41" s="7">
        <f>IF(F41=0,"",I41/F41-1)</f>
        <v/>
      </c>
    </row>
    <row r="42">
      <c r="A42" s="5" t="inlineStr">
        <is>
          <t>11452109</t>
        </is>
      </c>
      <c r="B42" s="5">
        <f>'توقع المحصل (المراقبة)'!B43</f>
        <v/>
      </c>
      <c r="C42" s="5">
        <f>'توقع المحصل (المراقبة)'!C43</f>
        <v/>
      </c>
      <c r="D42" s="6" t="n">
        <v>536299.9399999999</v>
      </c>
      <c r="E42" s="6" t="n">
        <v>1217856.22</v>
      </c>
      <c r="F42" s="6" t="n">
        <v>591946.73</v>
      </c>
      <c r="G42" s="6">
        <f>'توقع المحصل (المراقبة)'!D43</f>
        <v/>
      </c>
      <c r="H42" s="6">
        <f>'توقع المحصل (المراقبة)'!M43</f>
        <v/>
      </c>
      <c r="I42" s="6">
        <f>'توقع المحصل (المراقبة)'!P43</f>
        <v/>
      </c>
      <c r="J42" s="7">
        <f>IF(D42=0,"",E42/D42-1)</f>
        <v/>
      </c>
      <c r="K42" s="7">
        <f>IF(E42=0,"",F42/E42-1)</f>
        <v/>
      </c>
      <c r="L42" s="7">
        <f>IF(F42=0,"",H42/F42-1)</f>
        <v/>
      </c>
      <c r="M42" s="7">
        <f>IF(F42=0,"",I42/F42-1)</f>
        <v/>
      </c>
    </row>
    <row r="43">
      <c r="A43" s="5" t="inlineStr">
        <is>
          <t>11422</t>
        </is>
      </c>
      <c r="B43" s="5">
        <f>'توقع المحصل (المراقبة)'!B44</f>
        <v/>
      </c>
      <c r="C43" s="5">
        <f>'توقع المحصل (المراقبة)'!C44</f>
        <v/>
      </c>
      <c r="D43" s="6" t="n">
        <v>27000</v>
      </c>
      <c r="E43" s="6" t="n">
        <v>5167</v>
      </c>
      <c r="F43" s="6" t="n">
        <v>27000</v>
      </c>
      <c r="G43" s="6">
        <f>'توقع المحصل (المراقبة)'!D44</f>
        <v/>
      </c>
      <c r="H43" s="6">
        <f>'توقع المحصل (المراقبة)'!M44</f>
        <v/>
      </c>
      <c r="I43" s="6">
        <f>'توقع المحصل (المراقبة)'!P44</f>
        <v/>
      </c>
      <c r="J43" s="7">
        <f>IF(D43=0,"",E43/D43-1)</f>
        <v/>
      </c>
      <c r="K43" s="7">
        <f>IF(E43=0,"",F43/E43-1)</f>
        <v/>
      </c>
      <c r="L43" s="7">
        <f>IF(F43=0,"",H43/F43-1)</f>
        <v/>
      </c>
      <c r="M43" s="7">
        <f>IF(F43=0,"",I43/F43-1)</f>
        <v/>
      </c>
    </row>
    <row r="44">
      <c r="A44" s="5" t="inlineStr">
        <is>
          <t>142161</t>
        </is>
      </c>
      <c r="B44" s="5">
        <f>'توقع المحصل (المراقبة)'!B45</f>
        <v/>
      </c>
      <c r="C44" s="5">
        <f>'توقع المحصل (المراقبة)'!C45</f>
        <v/>
      </c>
      <c r="D44" s="6" t="n">
        <v>0</v>
      </c>
      <c r="E44" s="6" t="n">
        <v>0</v>
      </c>
      <c r="F44" s="6" t="n">
        <v>6000</v>
      </c>
      <c r="G44" s="6">
        <f>'توقع المحصل (المراقبة)'!D45</f>
        <v/>
      </c>
      <c r="H44" s="6">
        <f>'توقع المحصل (المراقبة)'!M45</f>
        <v/>
      </c>
      <c r="I44" s="6">
        <f>'توقع المحصل (المراقبة)'!P45</f>
        <v/>
      </c>
      <c r="J44" s="7">
        <f>IF(D44=0,"",E44/D44-1)</f>
        <v/>
      </c>
      <c r="K44" s="7">
        <f>IF(E44=0,"",F44/E44-1)</f>
        <v/>
      </c>
      <c r="L44" s="7">
        <f>IF(F44=0,"",H44/F44-1)</f>
        <v/>
      </c>
      <c r="M44" s="7">
        <f>IF(F44=0,"",I44/F44-1)</f>
        <v/>
      </c>
    </row>
    <row r="45">
      <c r="A45" s="5" t="inlineStr">
        <is>
          <t>1421908</t>
        </is>
      </c>
      <c r="B45" s="5">
        <f>'توقع المحصل (المراقبة)'!B46</f>
        <v/>
      </c>
      <c r="C45" s="5">
        <f>'توقع المحصل (المراقبة)'!C46</f>
        <v/>
      </c>
      <c r="D45" s="6" t="n">
        <v>16385</v>
      </c>
      <c r="E45" s="6" t="n">
        <v>0</v>
      </c>
      <c r="F45" s="6" t="n">
        <v>0</v>
      </c>
      <c r="G45" s="6">
        <f>'توقع المحصل (المراقبة)'!D46</f>
        <v/>
      </c>
      <c r="H45" s="6">
        <f>'توقع المحصل (المراقبة)'!M46</f>
        <v/>
      </c>
      <c r="I45" s="6">
        <f>'توقع المحصل (المراقبة)'!P46</f>
        <v/>
      </c>
      <c r="J45" s="7">
        <f>IF(D45=0,"",E45/D45-1)</f>
        <v/>
      </c>
      <c r="K45" s="7">
        <f>IF(E45=0,"",F45/E45-1)</f>
        <v/>
      </c>
      <c r="L45" s="7">
        <f>IF(F45=0,"",H45/F45-1)</f>
        <v/>
      </c>
      <c r="M45" s="7">
        <f>IF(F45=0,"",I45/F45-1)</f>
        <v/>
      </c>
    </row>
    <row r="46">
      <c r="A46" s="5" t="inlineStr">
        <is>
          <t>1422112</t>
        </is>
      </c>
      <c r="B46" s="5">
        <f>'توقع المحصل (المراقبة)'!B47</f>
        <v/>
      </c>
      <c r="C46" s="5">
        <f>'توقع المحصل (المراقبة)'!C47</f>
        <v/>
      </c>
      <c r="D46" s="6" t="n">
        <v>0</v>
      </c>
      <c r="E46" s="6" t="n">
        <v>0</v>
      </c>
      <c r="F46" s="6" t="n">
        <v>0</v>
      </c>
      <c r="G46" s="6">
        <f>'توقع المحصل (المراقبة)'!D47</f>
        <v/>
      </c>
      <c r="H46" s="6">
        <f>'توقع المحصل (المراقبة)'!M47</f>
        <v/>
      </c>
      <c r="I46" s="6">
        <f>'توقع المحصل (المراقبة)'!P47</f>
        <v/>
      </c>
      <c r="J46" s="7">
        <f>IF(D46=0,"",E46/D46-1)</f>
        <v/>
      </c>
      <c r="K46" s="7">
        <f>IF(E46=0,"",F46/E46-1)</f>
        <v/>
      </c>
      <c r="L46" s="7">
        <f>IF(F46=0,"",H46/F46-1)</f>
        <v/>
      </c>
      <c r="M46" s="7">
        <f>IF(F46=0,"",I46/F46-1)</f>
        <v/>
      </c>
    </row>
    <row r="47">
      <c r="A47" s="5" t="inlineStr">
        <is>
          <t>1422199</t>
        </is>
      </c>
      <c r="B47" s="5">
        <f>'توقع المحصل (المراقبة)'!B48</f>
        <v/>
      </c>
      <c r="C47" s="5">
        <f>'توقع المحصل (المراقبة)'!C48</f>
        <v/>
      </c>
      <c r="D47" s="6" t="n">
        <v>0</v>
      </c>
      <c r="E47" s="6" t="n">
        <v>0</v>
      </c>
      <c r="F47" s="6" t="n">
        <v>0</v>
      </c>
      <c r="G47" s="6">
        <f>'توقع المحصل (المراقبة)'!D48</f>
        <v/>
      </c>
      <c r="H47" s="6">
        <f>'توقع المحصل (المراقبة)'!M48</f>
        <v/>
      </c>
      <c r="I47" s="6">
        <f>'توقع المحصل (المراقبة)'!P48</f>
        <v/>
      </c>
      <c r="J47" s="7">
        <f>IF(D47=0,"",E47/D47-1)</f>
        <v/>
      </c>
      <c r="K47" s="7">
        <f>IF(E47=0,"",F47/E47-1)</f>
        <v/>
      </c>
      <c r="L47" s="7">
        <f>IF(F47=0,"",H47/F47-1)</f>
        <v/>
      </c>
      <c r="M47" s="7">
        <f>IF(F47=0,"",I47/F47-1)</f>
        <v/>
      </c>
    </row>
    <row r="48">
      <c r="A48" s="8" t="n"/>
      <c r="B48" s="8" t="inlineStr">
        <is>
          <t>الإجمالي</t>
        </is>
      </c>
      <c r="C48" s="8" t="n"/>
      <c r="D48" s="9">
        <f>SUM(D5:D47)</f>
        <v/>
      </c>
      <c r="E48" s="9">
        <f>SUM(E5:E47)</f>
        <v/>
      </c>
      <c r="F48" s="9">
        <f>SUM(F5:F47)</f>
        <v/>
      </c>
      <c r="G48" s="9">
        <f>SUM(G5:G47)</f>
        <v/>
      </c>
      <c r="H48" s="9">
        <f>SUM(H5:H47)</f>
        <v/>
      </c>
      <c r="I48" s="9">
        <f>SUM(I5:I47)</f>
        <v/>
      </c>
      <c r="J48" s="10">
        <f>E48/D48-1</f>
        <v/>
      </c>
      <c r="K48" s="10">
        <f>F48/E48-1</f>
        <v/>
      </c>
      <c r="L48" s="10">
        <f>H48/F48-1</f>
        <v/>
      </c>
      <c r="M48" s="10">
        <f>I48/F48-1</f>
        <v/>
      </c>
    </row>
  </sheetData>
  <autoFilter ref="A4:M47"/>
  <mergeCells count="1">
    <mergeCell ref="A2:M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rightToLeft="1" workbookViewId="0">
      <selection activeCell="A1" sqref="A1"/>
    </sheetView>
  </sheetViews>
  <sheetFormatPr baseColWidth="8" defaultRowHeight="15"/>
  <cols>
    <col width="60" customWidth="1" min="1" max="1"/>
    <col width="12" customWidth="1" min="2" max="2"/>
    <col width="60" customWidth="1" min="3" max="3"/>
  </cols>
  <sheetData>
    <row r="1">
      <c r="A1" s="1" t="inlineStr">
        <is>
          <t>الافتراضات (الخلايا الصفراء قابلة للتعديل)</t>
        </is>
      </c>
    </row>
    <row r="3" ht="42" customHeight="1">
      <c r="A3" s="4" t="inlineStr">
        <is>
          <t>البند</t>
        </is>
      </c>
      <c r="B3" s="4" t="inlineStr">
        <is>
          <t>القيمة</t>
        </is>
      </c>
      <c r="C3" s="4" t="inlineStr">
        <is>
          <t>ملاحظة</t>
        </is>
      </c>
    </row>
    <row r="4">
      <c r="A4" t="inlineStr">
        <is>
          <t>معامل تحويل 2026 إلى سنة كاملة (12÷9)</t>
        </is>
      </c>
      <c r="B4" s="19">
        <f>12/9</f>
        <v/>
      </c>
      <c r="C4" t="inlineStr">
        <is>
          <t>المتاح فعلياً 9 أشهر (يناير–سبتمبر 2026)</t>
        </is>
      </c>
    </row>
    <row r="5">
      <c r="A5" t="inlineStr">
        <is>
          <t>نسبة النمو – السيناريو الأول (ثابتة)</t>
        </is>
      </c>
      <c r="B5" s="20">
        <f>التوقعات!C2</f>
        <v/>
      </c>
      <c r="C5" t="inlineStr">
        <is>
          <t>تُعدَّل من خلية C2 في ورقة التوقعات</t>
        </is>
      </c>
    </row>
    <row r="6">
      <c r="A6" t="inlineStr">
        <is>
          <t>سقف معدل النمو التاريخي (±)</t>
        </is>
      </c>
      <c r="B6" s="20" t="n">
        <v>0.25</v>
      </c>
      <c r="C6" t="inlineStr">
        <is>
          <t>لتفادي القفزات الكبيرة في الحسابات المتذبذبة؛ قابل للتعديل</t>
        </is>
      </c>
    </row>
    <row r="7">
      <c r="A7" t="inlineStr">
        <is>
          <t>أدنى معامل اتجاه 2026 (توقع المحصل الموسمي)</t>
        </is>
      </c>
      <c r="B7" s="21" t="n">
        <v>0.5</v>
      </c>
      <c r="C7" t="inlineStr">
        <is>
          <t>يحدّ أثر انخفاض 2026 عن متوسط السنوات السابقة</t>
        </is>
      </c>
    </row>
    <row r="8">
      <c r="A8" t="inlineStr">
        <is>
          <t>أعلى معامل اتجاه 2026 (توقع المحصل الموسمي)</t>
        </is>
      </c>
      <c r="B8" s="21" t="n">
        <v>1.5</v>
      </c>
      <c r="C8" t="inlineStr">
        <is>
          <t>يحدّ أثر ارتفاع 2026 عن متوسط السنوات السابقة</t>
        </is>
      </c>
    </row>
    <row r="9">
      <c r="A9" s="2" t="inlineStr">
        <is>
          <t>منهجية الحساب:</t>
        </is>
      </c>
    </row>
    <row r="10">
      <c r="A10" s="22" t="inlineStr">
        <is>
          <t>1) الإجمالي المفوتر للحساب = المفوتر + المحصل عن سنوات سابقة (حسب طلبك).</t>
        </is>
      </c>
    </row>
    <row r="11">
      <c r="A11" s="22" t="inlineStr">
        <is>
          <t>2) توقع 2026 = الفعلي حتى سبتمبر × 12/9 (لا توجد بيانات شهرية، فلا موسمية في التوقع).</t>
        </is>
      </c>
    </row>
    <row r="12">
      <c r="A12" s="22" t="inlineStr">
        <is>
          <t>3) الحسابات التي فوترتها وتحصيلها صفر في 2026 تُعتبر متوقفة وتوقعها صفر في 2026 و2027.</t>
        </is>
      </c>
    </row>
    <row r="13">
      <c r="A13" s="22" t="inlineStr">
        <is>
          <t>4) 2027 – السيناريو الأول: توقع 2026 × (1 + نسبة النمو في خلية C2 بورقة التوقعات؛ الافتراضي 7%).</t>
        </is>
      </c>
    </row>
    <row r="14">
      <c r="A14" s="22" t="inlineStr">
        <is>
          <t>5) 2027 – السيناريو الثاني: توقع 2026 × (1 + معدل النمو السنوي المركب التاريخي للحساب بين أول سنة فيها فوترة و2025، بسقف ±25%). إن توفرت سنة واحدة فقط من البيانات = نمو 0%.</t>
        </is>
      </c>
    </row>
    <row r="15">
      <c r="A15" s="22" t="inlineStr">
        <is>
          <t>6) تم استبعاد حساب قيمة الضريبة المضافة (11411) من كل الحسابات والإجماليات.</t>
        </is>
      </c>
    </row>
    <row r="16">
      <c r="A16" s="22" t="inlineStr">
        <is>
          <t>6b) تم دمج صفّي "بدون رقم" (خدمات علم + جزاءات، وجزاءات جزء ضئيل) في صف واحد لكل سنة.</t>
        </is>
      </c>
    </row>
    <row r="17">
      <c r="A17" s="22" t="inlineStr">
        <is>
          <t>6c) أعمدة النمو لكل حساب: نمو كل سنة عن السنة السابقة (2024 عن 2023، 2025 عن 2024، 2026 توقع عن 2025، و2027 عن 2026 للسيناريوهين). تظهر فارغة عندما تكون السنة السابقة صفراً.</t>
        </is>
      </c>
    </row>
    <row r="18">
      <c r="A18" s="22" t="inlineStr">
        <is>
          <t>6d) ورقة "توقع المحصل 2026": توقع إقفال 2026 كمحصّل فعلي = المحصل حتى سبتمبر × 12÷9 (مسدد عن السنة + محصل سنوات سابقة).</t>
        </is>
      </c>
    </row>
    <row r="19">
      <c r="A19" s="22" t="inlineStr">
        <is>
          <t>6e) إعادة تصنيف المحصل: حسب تأكيد المستخدم، نُقل 913م من محصل 2025 في حساب اللوحات الدعائية (142113) إلى تأجير المرافق (142162) (كلها من إدارة الدعم المالي: مايو 291م ونوفمبر 594م). ينطبق على أوراق المحصل فقط؛ أوراق الفوترة لم تُعدّل لأن مبالغ الفوترة حسب الجهة غير متوفرة. إن كانت دفعات إدارة الدعم المالي في 2024 (يوليو 312م، نوفمبر 25م، ديسمبر 102م) من نفس النوع فالتوقع الأساسي يرتفع (انظر الرد).</t>
        </is>
      </c>
    </row>
    <row r="20">
      <c r="A20" s="22" t="inlineStr">
        <is>
          <t>6f) ورقة "توقع المحصل (المراقبة)": الفعلي يناير–أكتوبر 2026 من ملف المراقبة (ورقة الإجمالي، قبل الاستقطاع)، ثم متبقي أكتوبر ونوفمبر وديسمبر بالموسمية الشهرية.</t>
        </is>
      </c>
    </row>
    <row r="21">
      <c r="A21" s="22" t="inlineStr">
        <is>
          <t>7) تنبيه: كثير من الحسابات تتذبذب بشدة بين السنوات (لوحات دعائية، تأجير المرافق، إيرادات متنوعة)، ومضاعفة 2026 على 12/9 تضخّم أو تقلّل هذه الأرقام؛ انظر عمود "تنبيه".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2026-10-19T16:54:57Z</dcterms:created>
  <dcterms:modified xmlns:dcterms="http://purl.org/dc/terms/" xmlns:xsi="http://www.w3.org/2001/XMLSchema-instance" xsi:type="dcterms:W3CDTF">2026-10-19T16:54:58Z</dcterms:modified>
</cp:coreProperties>
</file>