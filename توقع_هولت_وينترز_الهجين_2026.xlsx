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عوامل والدفعات" sheetId="2" state="visible" r:id="rId2"/>
    <sheet xmlns:r="http://schemas.openxmlformats.org/officeDocument/2006/relationships" name="النموذج والاختبار" sheetId="3" state="visible" r:id="rId3"/>
    <sheet xmlns:r="http://schemas.openxmlformats.org/officeDocument/2006/relationships" name="السلسلة الشهر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0"/>
    <numFmt numFmtId="165" formatCode="#,##0;(#,##0);&quot;-&quot;"/>
    <numFmt numFmtId="166" formatCode="0.0"/>
    <numFmt numFmtId="167" formatCode="#,##0.0"/>
    <numFmt numFmtId="168" formatCode="+0%;-0%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color rgb="00FFFFFF"/>
    </font>
    <font>
      <name val="Arial"/>
      <sz val="10"/>
    </font>
    <font>
      <name val="Arial"/>
      <b val="1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5" fontId="4" fillId="0" borderId="1" pivotButton="0" quotePrefix="0" xfId="0"/>
    <xf numFmtId="164" fontId="4" fillId="0" borderId="1" pivotButton="0" quotePrefix="0" xfId="0"/>
    <xf numFmtId="9" fontId="4" fillId="0" borderId="1" pivotButton="0" quotePrefix="0" xfId="0"/>
    <xf numFmtId="0" fontId="6" fillId="4" borderId="1" pivotButton="0" quotePrefix="0" xfId="0"/>
    <xf numFmtId="165" fontId="6" fillId="4" borderId="1" pivotButton="0" quotePrefix="0" xfId="0"/>
    <xf numFmtId="164" fontId="6" fillId="4" borderId="1" pivotButton="0" quotePrefix="0" xfId="0"/>
    <xf numFmtId="9" fontId="6" fillId="4" borderId="1" pivotButton="0" quotePrefix="0" xfId="0"/>
    <xf numFmtId="9" fontId="4" fillId="3" borderId="1" pivotButton="0" quotePrefix="0" xfId="0"/>
    <xf numFmtId="0" fontId="5" fillId="0" borderId="0" pivotButton="0" quotePrefix="0" xfId="0"/>
    <xf numFmtId="165" fontId="4" fillId="3" borderId="1" pivotButton="0" quotePrefix="0" xfId="0"/>
    <xf numFmtId="0" fontId="2" fillId="0" borderId="0" pivotButton="0" quotePrefix="0" xfId="0"/>
    <xf numFmtId="166" fontId="4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6" fontId="6" fillId="4" borderId="1" pivotButton="0" quotePrefix="0" xfId="0"/>
    <xf numFmtId="167" fontId="6" fillId="4" borderId="1" pivotButton="0" quotePrefix="0" xfId="0"/>
    <xf numFmtId="168" fontId="6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"/>
  <sheetViews>
    <sheetView rightToLeft="1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</cols>
  <sheetData>
    <row r="1">
      <c r="A1" s="1" t="inlineStr">
        <is>
          <t>توقع إقفال 2026 بنموذج هولت-وينترز الهجين (حسب التبويب، بدون الضريبة)</t>
        </is>
      </c>
    </row>
    <row r="2" ht="58" customHeight="1">
      <c r="A2" s="2" t="inlineStr">
        <is>
          <t>هولت-وينترز (ETS: اتجاه + موسمية 12 شهراً، اختيار الجمعي/الضربي والتخميد بأقل AIC) على المحصل الشهري يناير 2023 – سبتمبر 2026 بعد استبعاد القفزات الاستثنائية، ثم الطبقة الهجينة: × العوامل الخارجية + الدفعات الاستثنائية المعروفة. أكتوبر لا يقل عن المحصل حتى تاريخه. الإقفال = الفعلي التراكمي حتى سبتمبر (ملف المراقبة) + أكتوبر–ديسمبر. الحد الأدنى والأعلى = نطاق ثقة 80% للنموذج (الأدنى بدون عوامل أو دفعات استثنائية).</t>
        </is>
      </c>
    </row>
    <row r="4" ht="44" customHeight="1">
      <c r="A4" s="3" t="inlineStr">
        <is>
          <t>التبويب</t>
        </is>
      </c>
      <c r="B4" s="3" t="inlineStr">
        <is>
          <t>الفعلي التراكمي يناير–سبتمبر</t>
        </is>
      </c>
      <c r="C4" s="3" t="inlineStr">
        <is>
          <t>أكتوبر: المحصل حتى تاريخه</t>
        </is>
      </c>
      <c r="D4" s="3" t="inlineStr">
        <is>
          <t>هولت-وينترز أكتوبر</t>
        </is>
      </c>
      <c r="E4" s="3" t="inlineStr">
        <is>
          <t>هولت-وينترز نوفمبر</t>
        </is>
      </c>
      <c r="F4" s="3" t="inlineStr">
        <is>
          <t>هولت-وينترز ديسمبر</t>
        </is>
      </c>
      <c r="G4" s="3" t="inlineStr">
        <is>
          <t>المعامل الخارجي</t>
        </is>
      </c>
      <c r="H4" s="3" t="inlineStr">
        <is>
          <t>الهجين أكتوبر</t>
        </is>
      </c>
      <c r="I4" s="3" t="inlineStr">
        <is>
          <t>الهجين نوفمبر</t>
        </is>
      </c>
      <c r="J4" s="3" t="inlineStr">
        <is>
          <t>الهجين ديسمبر</t>
        </is>
      </c>
      <c r="K4" s="3" t="inlineStr">
        <is>
          <t>الهجين أكتوبر–ديسمبر</t>
        </is>
      </c>
      <c r="L4" s="3" t="inlineStr">
        <is>
          <t>إقفال 2026 – هجين</t>
        </is>
      </c>
      <c r="M4" s="3" t="inlineStr">
        <is>
          <t>إقفال 2026 – حد أدنى (80%)</t>
        </is>
      </c>
      <c r="N4" s="3" t="inlineStr">
        <is>
          <t>إقفال 2026 – حد أعلى (80%)</t>
        </is>
      </c>
      <c r="O4" s="3" t="inlineStr">
        <is>
          <t>مستهدف أكتوبر–ديسمبر</t>
        </is>
      </c>
      <c r="P4" s="3" t="inlineStr">
        <is>
          <t>المستهدف السنوي</t>
        </is>
      </c>
      <c r="Q4" s="3" t="inlineStr">
        <is>
          <t>الهجين ÷ المستهدف السنوي</t>
        </is>
      </c>
      <c r="R4" s="3" t="inlineStr">
        <is>
          <t>إقفال – هولت-وينترز فقط</t>
        </is>
      </c>
    </row>
    <row r="5">
      <c r="A5" s="4" t="inlineStr">
        <is>
          <t>إيرادات إستثمارية</t>
        </is>
      </c>
      <c r="B5" s="5" t="n">
        <v>1052146902.93</v>
      </c>
      <c r="C5" s="5" t="n">
        <v>33361604.91</v>
      </c>
      <c r="D5" s="5" t="n">
        <v>110555228.13</v>
      </c>
      <c r="E5" s="5" t="n">
        <v>113561394.67</v>
      </c>
      <c r="F5" s="5" t="n">
        <v>80323997.09</v>
      </c>
      <c r="G5" s="6">
        <f>'العوامل والدفعات'!D5</f>
        <v/>
      </c>
      <c r="H5" s="5">
        <f>MAX(C5,D5*G5+'العوامل والدفعات'!B14)</f>
        <v/>
      </c>
      <c r="I5" s="5">
        <f>E5*G5+'العوامل والدفعات'!C14</f>
        <v/>
      </c>
      <c r="J5" s="5">
        <f>F5*G5+'العوامل والدفعات'!D14</f>
        <v/>
      </c>
      <c r="K5" s="5">
        <f>H5+I5+J5</f>
        <v/>
      </c>
      <c r="L5" s="5">
        <f>B5+K5</f>
        <v/>
      </c>
      <c r="M5" s="5">
        <f>B5+MAX(C5,76159658.46)+125094251.91</f>
        <v/>
      </c>
      <c r="N5" s="5">
        <f>B5+MAX(C5,144950797.79*G5+'العوامل والدفعات'!B14)+147956964.50*G5+'العوامل والدفعات'!C14+114719567.10*G5+'العوامل والدفعات'!D14</f>
        <v/>
      </c>
      <c r="O5" s="5" t="n">
        <v>788620890.99</v>
      </c>
      <c r="P5" s="5">
        <f>O5+1038815836.09</f>
        <v/>
      </c>
      <c r="Q5" s="7">
        <f>IF(P5=0,"",L5/P5)</f>
        <v/>
      </c>
      <c r="R5" s="5">
        <f>B5+MAX(C5,D5)+E5+F5</f>
        <v/>
      </c>
    </row>
    <row r="6">
      <c r="A6" s="4" t="inlineStr">
        <is>
          <t>الرسوم والتراخيص</t>
        </is>
      </c>
      <c r="B6" s="5" t="n">
        <v>893640140.0200001</v>
      </c>
      <c r="C6" s="5" t="n">
        <v>47001537.91411765</v>
      </c>
      <c r="D6" s="5" t="n">
        <v>98200596.62</v>
      </c>
      <c r="E6" s="5" t="n">
        <v>88771754.48999999</v>
      </c>
      <c r="F6" s="5" t="n">
        <v>115528325.38</v>
      </c>
      <c r="G6" s="6">
        <f>'العوامل والدفعات'!D6</f>
        <v/>
      </c>
      <c r="H6" s="5">
        <f>MAX(C6,D6*G6+'العوامل والدفعات'!B15)</f>
        <v/>
      </c>
      <c r="I6" s="5">
        <f>E6*G6+'العوامل والدفعات'!C15</f>
        <v/>
      </c>
      <c r="J6" s="5">
        <f>F6*G6+'العوامل والدفعات'!D15</f>
        <v/>
      </c>
      <c r="K6" s="5">
        <f>H6+I6+J6</f>
        <v/>
      </c>
      <c r="L6" s="5">
        <f>B6+K6</f>
        <v/>
      </c>
      <c r="M6" s="5">
        <f>B6+MAX(C6,80711838.79)+169322563.95</f>
        <v/>
      </c>
      <c r="N6" s="5">
        <f>B6+MAX(C6,115689354.46*G6+'العوامل والدفعات'!B15)+106260512.41*G6+'العوامل والدفعات'!C15+133017083.39*G6+'العوامل والدفعات'!D15</f>
        <v/>
      </c>
      <c r="O6" s="5" t="n">
        <v>261024941.59</v>
      </c>
      <c r="P6" s="5">
        <f>O6+895660932.61</f>
        <v/>
      </c>
      <c r="Q6" s="7">
        <f>IF(P6=0,"",L6/P6)</f>
        <v/>
      </c>
      <c r="R6" s="5">
        <f>B6+MAX(C6,D6)+E6+F6</f>
        <v/>
      </c>
    </row>
    <row r="7">
      <c r="A7" s="4" t="inlineStr">
        <is>
          <t>جزاءات وغرامات</t>
        </is>
      </c>
      <c r="B7" s="5" t="n">
        <v>638994901.72</v>
      </c>
      <c r="C7" s="5" t="n">
        <v>33304429</v>
      </c>
      <c r="D7" s="5" t="n">
        <v>31888675.75</v>
      </c>
      <c r="E7" s="5" t="n">
        <v>31250602.54</v>
      </c>
      <c r="F7" s="5" t="n">
        <v>40446734.15</v>
      </c>
      <c r="G7" s="6">
        <f>'العوامل والدفعات'!D7</f>
        <v/>
      </c>
      <c r="H7" s="5">
        <f>MAX(C7,D7*G7+'العوامل والدفعات'!B16)</f>
        <v/>
      </c>
      <c r="I7" s="5">
        <f>E7*G7+'العوامل والدفعات'!C16</f>
        <v/>
      </c>
      <c r="J7" s="5">
        <f>F7*G7+'العوامل والدفعات'!D16</f>
        <v/>
      </c>
      <c r="K7" s="5">
        <f>H7+I7+J7</f>
        <v/>
      </c>
      <c r="L7" s="5">
        <f>B7+K7</f>
        <v/>
      </c>
      <c r="M7" s="5">
        <f>B7+MAX(C7,21773724.76)+47828917.85</f>
        <v/>
      </c>
      <c r="N7" s="5">
        <f>B7+MAX(C7,42016411.89*G7+'العوامل والدفعات'!B16)+41703469.26*G7+'العوامل والدفعات'!C16+52585115.13*G7+'العوامل والدفعات'!D16</f>
        <v/>
      </c>
      <c r="O7" s="5" t="n">
        <v>134770027.06</v>
      </c>
      <c r="P7" s="5">
        <f>O7+426733084.54</f>
        <v/>
      </c>
      <c r="Q7" s="7">
        <f>IF(P7=0,"",L7/P7)</f>
        <v/>
      </c>
      <c r="R7" s="5">
        <f>B7+MAX(C7,D7)+E7+F7</f>
        <v/>
      </c>
    </row>
    <row r="8">
      <c r="A8" s="4" t="inlineStr">
        <is>
          <t>التبغ والإيواء</t>
        </is>
      </c>
      <c r="B8" s="5" t="n">
        <v>209094919.82</v>
      </c>
      <c r="C8" s="5" t="n">
        <v>17460981.18352941</v>
      </c>
      <c r="D8" s="5" t="n">
        <v>23506009.9</v>
      </c>
      <c r="E8" s="5" t="n">
        <v>27745564.93</v>
      </c>
      <c r="F8" s="5" t="n">
        <v>25883310.32</v>
      </c>
      <c r="G8" s="6">
        <f>'العوامل والدفعات'!D8</f>
        <v/>
      </c>
      <c r="H8" s="5">
        <f>MAX(C8,D8*G8+'العوامل والدفعات'!B17)</f>
        <v/>
      </c>
      <c r="I8" s="5">
        <f>E8*G8+'العوامل والدفعات'!C17</f>
        <v/>
      </c>
      <c r="J8" s="5">
        <f>F8*G8+'العوامل والدفعات'!D17</f>
        <v/>
      </c>
      <c r="K8" s="5">
        <f>H8+I8+J8</f>
        <v/>
      </c>
      <c r="L8" s="5">
        <f>B8+K8</f>
        <v/>
      </c>
      <c r="M8" s="5">
        <f>B8+MAX(C8,19696766.94)+44800258.72</f>
        <v/>
      </c>
      <c r="N8" s="5">
        <f>B8+MAX(C8,27618510.21*G8+'العوامل والدفعات'!B17)+32163408.61*G8+'العوامل والدفعات'!C17+30473567.23*G8+'العوامل والدفعات'!D17</f>
        <v/>
      </c>
      <c r="O8" s="5" t="n">
        <v>90793705.69</v>
      </c>
      <c r="P8" s="5">
        <f>O8+308355656.80</f>
        <v/>
      </c>
      <c r="Q8" s="7">
        <f>IF(P8=0,"",L8/P8)</f>
        <v/>
      </c>
      <c r="R8" s="5">
        <f>B8+MAX(C8,D8)+E8+F8</f>
        <v/>
      </c>
    </row>
    <row r="9">
      <c r="A9" s="4" t="inlineStr">
        <is>
          <t>أخرى</t>
        </is>
      </c>
      <c r="B9" s="5" t="n">
        <v>193343076.23</v>
      </c>
      <c r="C9" s="5" t="n">
        <v>7521820.622941176</v>
      </c>
      <c r="D9" s="5" t="n">
        <v>28841709.98</v>
      </c>
      <c r="E9" s="5" t="n">
        <v>31513540.89</v>
      </c>
      <c r="F9" s="5" t="n">
        <v>28210460.29</v>
      </c>
      <c r="G9" s="6">
        <f>'العوامل والدفعات'!D9</f>
        <v/>
      </c>
      <c r="H9" s="5">
        <f>MAX(C9,D9*G9+'العوامل والدفعات'!B18)</f>
        <v/>
      </c>
      <c r="I9" s="5">
        <f>E9*G9+'العوامل والدفعات'!C18</f>
        <v/>
      </c>
      <c r="J9" s="5">
        <f>F9*G9+'العوامل والدفعات'!D18</f>
        <v/>
      </c>
      <c r="K9" s="5">
        <f>H9+I9+J9</f>
        <v/>
      </c>
      <c r="L9" s="5">
        <f>B9+K9</f>
        <v/>
      </c>
      <c r="M9" s="5">
        <f>B9+MAX(C9,22134264.14)+44997241.05</f>
        <v/>
      </c>
      <c r="N9" s="5">
        <f>B9+MAX(C9,35561465.09*G9+'العوامل والدفعات'!B18)+38749488.20*G9+'العوامل والدفعات'!C18+35479757.76*G9+'العوامل والدفعات'!D18</f>
        <v/>
      </c>
      <c r="O9" s="5" t="n">
        <v>22008335.21</v>
      </c>
      <c r="P9" s="5">
        <f>O9+83216589.45</f>
        <v/>
      </c>
      <c r="Q9" s="7">
        <f>IF(P9=0,"",L9/P9)</f>
        <v/>
      </c>
      <c r="R9" s="5">
        <f>B9+MAX(C9,D9)+E9+F9</f>
        <v/>
      </c>
    </row>
    <row r="10">
      <c r="A10" s="8" t="inlineStr">
        <is>
          <t>الإجمالي</t>
        </is>
      </c>
      <c r="B10" s="9">
        <f>SUM(B5:B9)</f>
        <v/>
      </c>
      <c r="C10" s="9">
        <f>SUM(C5:C9)</f>
        <v/>
      </c>
      <c r="D10" s="9">
        <f>SUM(D5:D9)</f>
        <v/>
      </c>
      <c r="E10" s="9">
        <f>SUM(E5:E9)</f>
        <v/>
      </c>
      <c r="F10" s="9">
        <f>SUM(F5:F9)</f>
        <v/>
      </c>
      <c r="G10" s="10" t="n"/>
      <c r="H10" s="9">
        <f>SUM(H5:H9)</f>
        <v/>
      </c>
      <c r="I10" s="9">
        <f>SUM(I5:I9)</f>
        <v/>
      </c>
      <c r="J10" s="9">
        <f>SUM(J5:J9)</f>
        <v/>
      </c>
      <c r="K10" s="9">
        <f>SUM(K5:K9)</f>
        <v/>
      </c>
      <c r="L10" s="9">
        <f>SUM(L5:L9)</f>
        <v/>
      </c>
      <c r="M10" s="9">
        <f>SUM(M5:M9)</f>
        <v/>
      </c>
      <c r="N10" s="9">
        <f>SUM(N5:N9)</f>
        <v/>
      </c>
      <c r="O10" s="9">
        <f>SUM(O5:O9)</f>
        <v/>
      </c>
      <c r="P10" s="9">
        <f>SUM(P5:P9)</f>
        <v/>
      </c>
      <c r="Q10" s="11">
        <f>IF(P10=0,"",L10/P10)</f>
        <v/>
      </c>
      <c r="R10" s="9">
        <f>SUM(R5:R9)</f>
        <v/>
      </c>
    </row>
  </sheetData>
  <mergeCells count="1"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90" customWidth="1" min="5" max="5"/>
  </cols>
  <sheetData>
    <row r="1">
      <c r="A1" s="1" t="inlineStr">
        <is>
          <t>المدخلات القابلة للتعديل (الخلايا الصفراء)</t>
        </is>
      </c>
    </row>
    <row r="2" ht="70" customHeight="1">
      <c r="A2" s="2" t="inlineStr">
        <is>
          <t>العوامل الخارجية: نسب تُطبَّق على توقع هولت-وينترز لأكتوبر–ديسمبر حسب التبويب. القيم الافتراضية من منهجية العرض: موسم الرياض +15% للتراخيص والتصاريح والإيواء والتبغ، والعوامل الاجتماعية +5% لإيرادات المستهلك (التبغ والإيواء). تنبيه: اختبار الربع الأخير 2025 يُظهر أن النموذج بدون عوامل كان دقيقاً للرسوم والتراخيص (+3%) وأعلى من الفعلي للتبغ والإيواء (+19%)، فقد تكون العوامل محسوبة مرتين لأن موسم الرياض موجود في بيانات السنوات السابقة. ضعها صفراً إن أردت النموذج الإحصائي فقط.</t>
        </is>
      </c>
    </row>
    <row r="4" ht="44" customHeight="1">
      <c r="A4" s="3" t="inlineStr">
        <is>
          <t>التبويب</t>
        </is>
      </c>
      <c r="B4" s="3" t="inlineStr">
        <is>
          <t>موسم الرياض والفعاليات</t>
        </is>
      </c>
      <c r="C4" s="3" t="inlineStr">
        <is>
          <t>العوامل الاجتماعية</t>
        </is>
      </c>
      <c r="D4" s="3" t="inlineStr">
        <is>
          <t>المعامل الكلي</t>
        </is>
      </c>
    </row>
    <row r="5">
      <c r="A5" s="4" t="inlineStr">
        <is>
          <t>إيرادات إستثمارية</t>
        </is>
      </c>
      <c r="B5" s="12" t="n">
        <v>0</v>
      </c>
      <c r="C5" s="12" t="n">
        <v>0</v>
      </c>
      <c r="D5" s="6">
        <f>(1+B5)*(1+C5)</f>
        <v/>
      </c>
    </row>
    <row r="6">
      <c r="A6" s="4" t="inlineStr">
        <is>
          <t>الرسوم والتراخيص</t>
        </is>
      </c>
      <c r="B6" s="12" t="n">
        <v>0.15</v>
      </c>
      <c r="C6" s="12" t="n">
        <v>0</v>
      </c>
      <c r="D6" s="6">
        <f>(1+B6)*(1+C6)</f>
        <v/>
      </c>
    </row>
    <row r="7">
      <c r="A7" s="4" t="inlineStr">
        <is>
          <t>جزاءات وغرامات</t>
        </is>
      </c>
      <c r="B7" s="12" t="n">
        <v>0</v>
      </c>
      <c r="C7" s="12" t="n">
        <v>0</v>
      </c>
      <c r="D7" s="6">
        <f>(1+B7)*(1+C7)</f>
        <v/>
      </c>
    </row>
    <row r="8">
      <c r="A8" s="4" t="inlineStr">
        <is>
          <t>التبغ والإيواء</t>
        </is>
      </c>
      <c r="B8" s="12" t="n">
        <v>0.15</v>
      </c>
      <c r="C8" s="12" t="n">
        <v>0.05</v>
      </c>
      <c r="D8" s="6">
        <f>(1+B8)*(1+C8)</f>
        <v/>
      </c>
    </row>
    <row r="9">
      <c r="A9" s="4" t="inlineStr">
        <is>
          <t>أخرى</t>
        </is>
      </c>
      <c r="B9" s="12" t="n">
        <v>0</v>
      </c>
      <c r="C9" s="12" t="n">
        <v>0</v>
      </c>
      <c r="D9" s="6">
        <f>(1+B9)*(1+C9)</f>
        <v/>
      </c>
    </row>
    <row r="12">
      <c r="A12" s="13" t="inlineStr">
        <is>
          <t>الدفعات الاستثنائية المعروفة (تُضاف خارج النموذج لأن النموذج يستبعد القفزات)</t>
        </is>
      </c>
    </row>
    <row r="13" ht="44" customHeight="1">
      <c r="A13" s="3" t="inlineStr">
        <is>
          <t>التبويب</t>
        </is>
      </c>
      <c r="B13" s="3" t="inlineStr">
        <is>
          <t>أكتوبر</t>
        </is>
      </c>
      <c r="C13" s="3" t="inlineStr">
        <is>
          <t>نوفمبر</t>
        </is>
      </c>
      <c r="D13" s="3" t="inlineStr">
        <is>
          <t>ديسمبر</t>
        </is>
      </c>
      <c r="E13" s="3" t="inlineStr">
        <is>
          <t>البيان</t>
        </is>
      </c>
    </row>
    <row r="14">
      <c r="A14" s="4" t="inlineStr">
        <is>
          <t>إيرادات إستثمارية</t>
        </is>
      </c>
      <c r="B14" s="14" t="n">
        <v>0</v>
      </c>
      <c r="C14" s="14" t="n">
        <v>441000000</v>
      </c>
      <c r="D14" s="14" t="n">
        <v>0</v>
      </c>
      <c r="E14" s="4" t="inlineStr">
        <is>
          <t>تأجير المرافق: الباقي من إقفالك المعدّل 917م (916.7 − 428.7 فعلي)، موزّع على نوفمبر حسب المستهدف الشهري. عدّله إن تغيّر.</t>
        </is>
      </c>
    </row>
    <row r="15">
      <c r="A15" s="4" t="inlineStr">
        <is>
          <t>الرسوم والتراخيص</t>
        </is>
      </c>
      <c r="B15" s="14" t="n">
        <v>0</v>
      </c>
      <c r="C15" s="14" t="n">
        <v>0</v>
      </c>
      <c r="D15" s="14" t="n">
        <v>0</v>
      </c>
      <c r="E15" s="4" t="inlineStr"/>
    </row>
    <row r="16">
      <c r="A16" s="4" t="inlineStr">
        <is>
          <t>جزاءات وغرامات</t>
        </is>
      </c>
      <c r="B16" s="14" t="n">
        <v>0</v>
      </c>
      <c r="C16" s="14" t="n">
        <v>0</v>
      </c>
      <c r="D16" s="14" t="n">
        <v>0</v>
      </c>
      <c r="E16" s="4" t="inlineStr"/>
    </row>
    <row r="17">
      <c r="A17" s="4" t="inlineStr">
        <is>
          <t>التبغ والإيواء</t>
        </is>
      </c>
      <c r="B17" s="14" t="n">
        <v>0</v>
      </c>
      <c r="C17" s="14" t="n">
        <v>0</v>
      </c>
      <c r="D17" s="14" t="n">
        <v>0</v>
      </c>
      <c r="E17" s="4" t="inlineStr"/>
    </row>
    <row r="18">
      <c r="A18" s="4" t="inlineStr">
        <is>
          <t>أخرى</t>
        </is>
      </c>
      <c r="B18" s="14" t="n">
        <v>0</v>
      </c>
      <c r="C18" s="14" t="n">
        <v>0</v>
      </c>
      <c r="D18" s="14" t="n">
        <v>0</v>
      </c>
      <c r="E18" s="4" t="inlineStr"/>
    </row>
  </sheetData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1" customWidth="1" min="5" max="5"/>
    <col width="11" customWidth="1" min="6" max="6"/>
    <col width="11" customWidth="1" min="7" max="7"/>
    <col width="9" customWidth="1" min="8" max="8"/>
    <col width="14" customWidth="1" min="9" max="9"/>
    <col width="14" customWidth="1" min="10" max="10"/>
    <col width="10" customWidth="1" min="11" max="11"/>
    <col width="10" customWidth="1" min="12" max="12"/>
    <col width="60" customWidth="1" min="13" max="13"/>
  </cols>
  <sheetData>
    <row r="1">
      <c r="A1" s="1" t="inlineStr">
        <is>
          <t>مواصفات النموذج لكل تبويب واختبار الدقة على الربع الأخير 2025</t>
        </is>
      </c>
    </row>
    <row r="2">
      <c r="A2" s="15" t="inlineStr">
        <is>
          <t>الاختبار: تدريب النموذج على يناير 2023 – سبتمبر 2025 فقط ثم توقع أكتوبر–ديسمبر 2025 ومقارنته بالفعلي (بعد استبعاد القفزات). القيم بالمليون.</t>
        </is>
      </c>
    </row>
    <row r="4" ht="44" customHeight="1">
      <c r="A4" s="3" t="inlineStr">
        <is>
          <t>التبويب</t>
        </is>
      </c>
      <c r="B4" s="3" t="inlineStr">
        <is>
          <t>الموسمية</t>
        </is>
      </c>
      <c r="C4" s="3" t="inlineStr">
        <is>
          <t>تخميد الاتجاه</t>
        </is>
      </c>
      <c r="D4" s="3" t="inlineStr">
        <is>
          <t>alpha (المستوى)</t>
        </is>
      </c>
      <c r="E4" s="3" t="inlineStr">
        <is>
          <t>beta (الاتجاه)</t>
        </is>
      </c>
      <c r="F4" s="3" t="inlineStr">
        <is>
          <t>gamma (الموسمية)</t>
        </is>
      </c>
      <c r="G4" s="3" t="inlineStr">
        <is>
          <t>phi (التخميد)</t>
        </is>
      </c>
      <c r="H4" s="3" t="inlineStr">
        <is>
          <t>AIC</t>
        </is>
      </c>
      <c r="I4" s="3" t="inlineStr">
        <is>
          <t>اختبار: المتوقع Q4-2025</t>
        </is>
      </c>
      <c r="J4" s="3" t="inlineStr">
        <is>
          <t>اختبار: الفعلي Q4-2025</t>
        </is>
      </c>
      <c r="K4" s="3" t="inlineStr">
        <is>
          <t>خطأ المجموع</t>
        </is>
      </c>
      <c r="L4" s="3" t="inlineStr">
        <is>
          <t>MAPE الشهري</t>
        </is>
      </c>
      <c r="M4" s="3" t="inlineStr">
        <is>
          <t>القفزات المستبعدة (شهر: مليون)</t>
        </is>
      </c>
    </row>
    <row r="5">
      <c r="A5" s="4" t="inlineStr">
        <is>
          <t>إيرادات إستثمارية</t>
        </is>
      </c>
      <c r="B5" s="4" t="inlineStr">
        <is>
          <t>جمعية</t>
        </is>
      </c>
      <c r="C5" s="4" t="inlineStr">
        <is>
          <t>لا</t>
        </is>
      </c>
      <c r="D5" s="6" t="n">
        <v>0.0001</v>
      </c>
      <c r="E5" s="6" t="n">
        <v>0</v>
      </c>
      <c r="F5" s="6" t="n">
        <v>0.0001</v>
      </c>
      <c r="G5" s="6" t="inlineStr"/>
      <c r="H5" s="16" t="n">
        <v>459.7915</v>
      </c>
      <c r="I5" s="17" t="n">
        <v>312.4157</v>
      </c>
      <c r="J5" s="17" t="n">
        <v>252.0863</v>
      </c>
      <c r="K5" s="18" t="n">
        <v>0.2393</v>
      </c>
      <c r="L5" s="7" t="n">
        <v>0.9105</v>
      </c>
      <c r="M5" s="4" t="inlineStr">
        <is>
          <t>2023-09: 3.3، 2024-10: 28.0، 2025-05: 197.1، 2025-11: 559.2، 2026-06: 351.0</t>
        </is>
      </c>
    </row>
    <row r="6">
      <c r="A6" s="4" t="inlineStr">
        <is>
          <t>الرسوم والتراخيص</t>
        </is>
      </c>
      <c r="B6" s="4" t="inlineStr">
        <is>
          <t>جمعية</t>
        </is>
      </c>
      <c r="C6" s="4" t="inlineStr">
        <is>
          <t>نعم</t>
        </is>
      </c>
      <c r="D6" s="6" t="n">
        <v>0.0001</v>
      </c>
      <c r="E6" s="6" t="n">
        <v>0</v>
      </c>
      <c r="F6" s="6" t="n">
        <v>0.0001</v>
      </c>
      <c r="G6" s="6" t="n">
        <v>0.902</v>
      </c>
      <c r="H6" s="16" t="n">
        <v>400.9183</v>
      </c>
      <c r="I6" s="17" t="n">
        <v>272.854</v>
      </c>
      <c r="J6" s="17" t="n">
        <v>269.6665</v>
      </c>
      <c r="K6" s="18" t="n">
        <v>0.0118</v>
      </c>
      <c r="L6" s="7" t="n">
        <v>0.07240000000000001</v>
      </c>
      <c r="M6" s="4" t="inlineStr">
        <is>
          <t>2024-07: 271.5، 2024-12: 69.6</t>
        </is>
      </c>
    </row>
    <row r="7">
      <c r="A7" s="4" t="inlineStr">
        <is>
          <t>جزاءات وغرامات</t>
        </is>
      </c>
      <c r="B7" s="4" t="inlineStr">
        <is>
          <t>ضربية</t>
        </is>
      </c>
      <c r="C7" s="4" t="inlineStr">
        <is>
          <t>نعم</t>
        </is>
      </c>
      <c r="D7" s="6" t="n">
        <v>0.1819</v>
      </c>
      <c r="E7" s="6" t="n">
        <v>0.1819</v>
      </c>
      <c r="F7" s="6" t="n">
        <v>0.0001</v>
      </c>
      <c r="G7" s="6" t="n">
        <v>0.8</v>
      </c>
      <c r="H7" s="16" t="n">
        <v>351.5725</v>
      </c>
      <c r="I7" s="17" t="n">
        <v>72.7077</v>
      </c>
      <c r="J7" s="17" t="n">
        <v>114.7851</v>
      </c>
      <c r="K7" s="18" t="n">
        <v>-0.3666</v>
      </c>
      <c r="L7" s="7" t="n">
        <v>0.3375</v>
      </c>
      <c r="M7" s="4" t="inlineStr">
        <is>
          <t>—</t>
        </is>
      </c>
    </row>
    <row r="8">
      <c r="A8" s="4" t="inlineStr">
        <is>
          <t>التبغ والإيواء</t>
        </is>
      </c>
      <c r="B8" s="4" t="inlineStr">
        <is>
          <t>ضربية</t>
        </is>
      </c>
      <c r="C8" s="4" t="inlineStr">
        <is>
          <t>لا</t>
        </is>
      </c>
      <c r="D8" s="6" t="n">
        <v>0.4738</v>
      </c>
      <c r="E8" s="6" t="n">
        <v>0</v>
      </c>
      <c r="F8" s="6" t="n">
        <v>0.0001</v>
      </c>
      <c r="G8" s="6" t="inlineStr"/>
      <c r="H8" s="16" t="n">
        <v>261.9527</v>
      </c>
      <c r="I8" s="17" t="n">
        <v>90.848</v>
      </c>
      <c r="J8" s="17" t="n">
        <v>76.3873</v>
      </c>
      <c r="K8" s="18" t="n">
        <v>0.1893</v>
      </c>
      <c r="L8" s="7" t="n">
        <v>0.2163</v>
      </c>
      <c r="M8" s="4" t="inlineStr">
        <is>
          <t>—</t>
        </is>
      </c>
    </row>
    <row r="9">
      <c r="A9" s="4" t="inlineStr">
        <is>
          <t>أخرى</t>
        </is>
      </c>
      <c r="B9" s="4" t="inlineStr">
        <is>
          <t>ضربية</t>
        </is>
      </c>
      <c r="C9" s="4" t="inlineStr">
        <is>
          <t>لا</t>
        </is>
      </c>
      <c r="D9" s="6" t="n">
        <v>0.0958</v>
      </c>
      <c r="E9" s="6" t="n">
        <v>0.0958</v>
      </c>
      <c r="F9" s="6" t="n">
        <v>0.0001</v>
      </c>
      <c r="G9" s="6" t="inlineStr"/>
      <c r="H9" s="16" t="n">
        <v>314.0949</v>
      </c>
      <c r="I9" s="17" t="n">
        <v>19.478</v>
      </c>
      <c r="J9" s="17" t="n">
        <v>7.0379</v>
      </c>
      <c r="K9" s="18" t="n">
        <v>1.7676</v>
      </c>
      <c r="L9" s="7" t="n">
        <v>2.1081</v>
      </c>
      <c r="M9" s="4" t="inlineStr">
        <is>
          <t>2024-02: 20.7، 2026-06: 11.6، 2026-07: 21.8، 2026-09: 15.3</t>
        </is>
      </c>
    </row>
    <row r="10">
      <c r="A10" s="8" t="inlineStr">
        <is>
          <t>الإجمالي</t>
        </is>
      </c>
      <c r="B10" s="8" t="n"/>
      <c r="C10" s="8" t="n"/>
      <c r="D10" s="10" t="n"/>
      <c r="E10" s="10" t="n"/>
      <c r="F10" s="10" t="n"/>
      <c r="G10" s="10" t="n"/>
      <c r="H10" s="19" t="n"/>
      <c r="I10" s="20">
        <f>SUM(I5:I9)</f>
        <v/>
      </c>
      <c r="J10" s="20">
        <f>SUM(J5:J9)</f>
        <v/>
      </c>
      <c r="K10" s="21">
        <f>I10/J10-1</f>
        <v/>
      </c>
      <c r="L10" s="11" t="n"/>
      <c r="M10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1"/>
  <sheetViews>
    <sheetView rightToLeft="1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>
      <c r="A1" s="1" t="inlineStr">
        <is>
          <t>المحصل الشهري لكل تبويب (مليون): الفعلي، وبعد استبعاد القفزات، وقيمة النموذج، وتوقع أكتوبر–ديسمبر 2026</t>
        </is>
      </c>
    </row>
    <row r="3" ht="44" customHeight="1">
      <c r="A3" s="3" t="inlineStr">
        <is>
          <t>الشهر</t>
        </is>
      </c>
      <c r="B3" s="3" t="inlineStr">
        <is>
          <t>إيرادات إستثمارية: فعلي</t>
        </is>
      </c>
      <c r="C3" s="3" t="inlineStr">
        <is>
          <t>إيرادات إستثمارية: بعد الاستبعاد</t>
        </is>
      </c>
      <c r="D3" s="3" t="inlineStr">
        <is>
          <t>إيرادات إستثمارية: النموذج</t>
        </is>
      </c>
      <c r="E3" s="3" t="inlineStr">
        <is>
          <t>الرسوم والتراخيص: فعلي</t>
        </is>
      </c>
      <c r="F3" s="3" t="inlineStr">
        <is>
          <t>الرسوم والتراخيص: بعد الاستبعاد</t>
        </is>
      </c>
      <c r="G3" s="3" t="inlineStr">
        <is>
          <t>الرسوم والتراخيص: النموذج</t>
        </is>
      </c>
      <c r="H3" s="3" t="inlineStr">
        <is>
          <t>جزاءات وغرامات: فعلي</t>
        </is>
      </c>
      <c r="I3" s="3" t="inlineStr">
        <is>
          <t>جزاءات وغرامات: بعد الاستبعاد</t>
        </is>
      </c>
      <c r="J3" s="3" t="inlineStr">
        <is>
          <t>جزاءات وغرامات: النموذج</t>
        </is>
      </c>
      <c r="K3" s="3" t="inlineStr">
        <is>
          <t>التبغ والإيواء: فعلي</t>
        </is>
      </c>
      <c r="L3" s="3" t="inlineStr">
        <is>
          <t>التبغ والإيواء: بعد الاستبعاد</t>
        </is>
      </c>
      <c r="M3" s="3" t="inlineStr">
        <is>
          <t>التبغ والإيواء: النموذج</t>
        </is>
      </c>
      <c r="N3" s="3" t="inlineStr">
        <is>
          <t>أخرى: فعلي</t>
        </is>
      </c>
      <c r="O3" s="3" t="inlineStr">
        <is>
          <t>أخرى: بعد الاستبعاد</t>
        </is>
      </c>
      <c r="P3" s="3" t="inlineStr">
        <is>
          <t>أخرى: النموذج</t>
        </is>
      </c>
    </row>
    <row r="4">
      <c r="A4" s="4" t="inlineStr">
        <is>
          <t>2023-01</t>
        </is>
      </c>
      <c r="B4" s="17" t="n">
        <v>61.97</v>
      </c>
      <c r="C4" s="17" t="n">
        <v>61.97</v>
      </c>
      <c r="D4" s="17" t="n">
        <v>53.71</v>
      </c>
      <c r="E4" s="17" t="n">
        <v>95.95999999999999</v>
      </c>
      <c r="F4" s="17" t="n">
        <v>95.95999999999999</v>
      </c>
      <c r="G4" s="17" t="n">
        <v>99.93000000000001</v>
      </c>
      <c r="H4" s="17" t="n">
        <v>47.99</v>
      </c>
      <c r="I4" s="17" t="n">
        <v>47.99</v>
      </c>
      <c r="J4" s="17" t="n">
        <v>42.52</v>
      </c>
      <c r="K4" s="17" t="n">
        <v>26.83</v>
      </c>
      <c r="L4" s="17" t="n">
        <v>26.83</v>
      </c>
      <c r="M4" s="17" t="n">
        <v>26.71</v>
      </c>
      <c r="N4" s="17" t="n">
        <v>9.630000000000001</v>
      </c>
      <c r="O4" s="17" t="n">
        <v>9.630000000000001</v>
      </c>
      <c r="P4" s="17" t="n">
        <v>12.63</v>
      </c>
    </row>
    <row r="5">
      <c r="A5" s="4" t="inlineStr">
        <is>
          <t>2023-02</t>
        </is>
      </c>
      <c r="B5" s="17" t="n">
        <v>31.88</v>
      </c>
      <c r="C5" s="17" t="n">
        <v>31.88</v>
      </c>
      <c r="D5" s="17" t="n">
        <v>48.27</v>
      </c>
      <c r="E5" s="17" t="n">
        <v>78.90000000000001</v>
      </c>
      <c r="F5" s="17" t="n">
        <v>78.90000000000001</v>
      </c>
      <c r="G5" s="17" t="n">
        <v>79.14</v>
      </c>
      <c r="H5" s="17" t="n">
        <v>38.64</v>
      </c>
      <c r="I5" s="17" t="n">
        <v>38.64</v>
      </c>
      <c r="J5" s="17" t="n">
        <v>46.03</v>
      </c>
      <c r="K5" s="17" t="n">
        <v>23.32</v>
      </c>
      <c r="L5" s="17" t="n">
        <v>23.32</v>
      </c>
      <c r="M5" s="17" t="n">
        <v>24.6</v>
      </c>
      <c r="N5" s="17" t="n">
        <v>17.19</v>
      </c>
      <c r="O5" s="17" t="n">
        <v>17.19</v>
      </c>
      <c r="P5" s="17" t="n">
        <v>18.52</v>
      </c>
    </row>
    <row r="6">
      <c r="A6" s="4" t="inlineStr">
        <is>
          <t>2023-03</t>
        </is>
      </c>
      <c r="B6" s="17" t="n">
        <v>32.91</v>
      </c>
      <c r="C6" s="17" t="n">
        <v>32.91</v>
      </c>
      <c r="D6" s="17" t="n">
        <v>34.93</v>
      </c>
      <c r="E6" s="17" t="n">
        <v>97.34999999999999</v>
      </c>
      <c r="F6" s="17" t="n">
        <v>97.34999999999999</v>
      </c>
      <c r="G6" s="17" t="n">
        <v>68.33</v>
      </c>
      <c r="H6" s="17" t="n">
        <v>45.81</v>
      </c>
      <c r="I6" s="17" t="n">
        <v>45.81</v>
      </c>
      <c r="J6" s="17" t="n">
        <v>35.61</v>
      </c>
      <c r="K6" s="17" t="n">
        <v>25.08</v>
      </c>
      <c r="L6" s="17" t="n">
        <v>25.08</v>
      </c>
      <c r="M6" s="17" t="n">
        <v>24.44</v>
      </c>
      <c r="N6" s="17" t="n">
        <v>12.1</v>
      </c>
      <c r="O6" s="17" t="n">
        <v>12.1</v>
      </c>
      <c r="P6" s="17" t="n">
        <v>6.03</v>
      </c>
    </row>
    <row r="7">
      <c r="A7" s="4" t="inlineStr">
        <is>
          <t>2023-04</t>
        </is>
      </c>
      <c r="B7" s="17" t="n">
        <v>35.07</v>
      </c>
      <c r="C7" s="17" t="n">
        <v>35.07</v>
      </c>
      <c r="D7" s="17" t="n">
        <v>35.25</v>
      </c>
      <c r="E7" s="17" t="n">
        <v>47.73</v>
      </c>
      <c r="F7" s="17" t="n">
        <v>47.73</v>
      </c>
      <c r="G7" s="17" t="n">
        <v>61.94</v>
      </c>
      <c r="H7" s="17" t="n">
        <v>29.11</v>
      </c>
      <c r="I7" s="17" t="n">
        <v>29.11</v>
      </c>
      <c r="J7" s="17" t="n">
        <v>47.68</v>
      </c>
      <c r="K7" s="17" t="n">
        <v>20.47</v>
      </c>
      <c r="L7" s="17" t="n">
        <v>20.47</v>
      </c>
      <c r="M7" s="17" t="n">
        <v>15.95</v>
      </c>
      <c r="N7" s="17" t="n">
        <v>4.85</v>
      </c>
      <c r="O7" s="17" t="n">
        <v>4.85</v>
      </c>
      <c r="P7" s="17" t="n">
        <v>3.46</v>
      </c>
    </row>
    <row r="8">
      <c r="A8" s="4" t="inlineStr">
        <is>
          <t>2023-05</t>
        </is>
      </c>
      <c r="B8" s="17" t="n">
        <v>93.86</v>
      </c>
      <c r="C8" s="17" t="n">
        <v>93.86</v>
      </c>
      <c r="D8" s="17" t="n">
        <v>88.23</v>
      </c>
      <c r="E8" s="17" t="n">
        <v>89.95999999999999</v>
      </c>
      <c r="F8" s="17" t="n">
        <v>89.95999999999999</v>
      </c>
      <c r="G8" s="17" t="n">
        <v>87.84</v>
      </c>
      <c r="H8" s="17" t="n">
        <v>51.89</v>
      </c>
      <c r="I8" s="17" t="n">
        <v>51.89</v>
      </c>
      <c r="J8" s="17" t="n">
        <v>44.18</v>
      </c>
      <c r="K8" s="17" t="n">
        <v>18.4</v>
      </c>
      <c r="L8" s="17" t="n">
        <v>18.4</v>
      </c>
      <c r="M8" s="17" t="n">
        <v>20.76</v>
      </c>
      <c r="N8" s="17" t="n">
        <v>12.3</v>
      </c>
      <c r="O8" s="17" t="n">
        <v>12.3</v>
      </c>
      <c r="P8" s="17" t="n">
        <v>8.380000000000001</v>
      </c>
    </row>
    <row r="9">
      <c r="A9" s="4" t="inlineStr">
        <is>
          <t>2023-06</t>
        </is>
      </c>
      <c r="B9" s="17" t="n">
        <v>43.18</v>
      </c>
      <c r="C9" s="17" t="n">
        <v>43.18</v>
      </c>
      <c r="D9" s="17" t="n">
        <v>60.31</v>
      </c>
      <c r="E9" s="17" t="n">
        <v>72.09</v>
      </c>
      <c r="F9" s="17" t="n">
        <v>72.09</v>
      </c>
      <c r="G9" s="17" t="n">
        <v>92.16</v>
      </c>
      <c r="H9" s="17" t="n">
        <v>43.21</v>
      </c>
      <c r="I9" s="17" t="n">
        <v>43.21</v>
      </c>
      <c r="J9" s="17" t="n">
        <v>39.39</v>
      </c>
      <c r="K9" s="17" t="n">
        <v>22.9</v>
      </c>
      <c r="L9" s="17" t="n">
        <v>22.9</v>
      </c>
      <c r="M9" s="17" t="n">
        <v>23.19</v>
      </c>
      <c r="N9" s="17" t="n">
        <v>7.24</v>
      </c>
      <c r="O9" s="17" t="n">
        <v>7.24</v>
      </c>
      <c r="P9" s="17" t="n">
        <v>11.5</v>
      </c>
    </row>
    <row r="10">
      <c r="A10" s="4" t="inlineStr">
        <is>
          <t>2023-07</t>
        </is>
      </c>
      <c r="B10" s="17" t="n">
        <v>70.43000000000001</v>
      </c>
      <c r="C10" s="17" t="n">
        <v>70.43000000000001</v>
      </c>
      <c r="D10" s="17" t="n">
        <v>64.81999999999999</v>
      </c>
      <c r="E10" s="17" t="n">
        <v>104.61</v>
      </c>
      <c r="F10" s="17" t="n">
        <v>104.61</v>
      </c>
      <c r="G10" s="17" t="n">
        <v>103.77</v>
      </c>
      <c r="H10" s="17" t="n">
        <v>49.46</v>
      </c>
      <c r="I10" s="17" t="n">
        <v>49.46</v>
      </c>
      <c r="J10" s="17" t="n">
        <v>43.34</v>
      </c>
      <c r="K10" s="17" t="n">
        <v>23.37</v>
      </c>
      <c r="L10" s="17" t="n">
        <v>23.37</v>
      </c>
      <c r="M10" s="17" t="n">
        <v>18.29</v>
      </c>
      <c r="N10" s="17" t="n">
        <v>9.890000000000001</v>
      </c>
      <c r="O10" s="17" t="n">
        <v>9.890000000000001</v>
      </c>
      <c r="P10" s="17" t="n">
        <v>12.98</v>
      </c>
    </row>
    <row r="11">
      <c r="A11" s="4" t="inlineStr">
        <is>
          <t>2023-08</t>
        </is>
      </c>
      <c r="B11" s="17" t="n">
        <v>66.39</v>
      </c>
      <c r="C11" s="17" t="n">
        <v>66.39</v>
      </c>
      <c r="D11" s="17" t="n">
        <v>64.19</v>
      </c>
      <c r="E11" s="17" t="n">
        <v>99.69</v>
      </c>
      <c r="F11" s="17" t="n">
        <v>99.69</v>
      </c>
      <c r="G11" s="17" t="n">
        <v>92.29000000000001</v>
      </c>
      <c r="H11" s="17" t="n">
        <v>46.14</v>
      </c>
      <c r="I11" s="17" t="n">
        <v>46.14</v>
      </c>
      <c r="J11" s="17" t="n">
        <v>43.26</v>
      </c>
      <c r="K11" s="17" t="n">
        <v>24.73</v>
      </c>
      <c r="L11" s="17" t="n">
        <v>24.73</v>
      </c>
      <c r="M11" s="17" t="n">
        <v>23</v>
      </c>
      <c r="N11" s="17" t="n">
        <v>7.88</v>
      </c>
      <c r="O11" s="17" t="n">
        <v>7.88</v>
      </c>
      <c r="P11" s="17" t="n">
        <v>2.97</v>
      </c>
    </row>
    <row r="12">
      <c r="A12" s="4" t="inlineStr">
        <is>
          <t>2023-09</t>
        </is>
      </c>
      <c r="B12" s="17" t="n">
        <v>148.32</v>
      </c>
      <c r="C12" s="17" t="n">
        <v>145.04</v>
      </c>
      <c r="D12" s="17" t="n">
        <v>74.63</v>
      </c>
      <c r="E12" s="17" t="n">
        <v>88</v>
      </c>
      <c r="F12" s="17" t="n">
        <v>88</v>
      </c>
      <c r="G12" s="17" t="n">
        <v>87.41</v>
      </c>
      <c r="H12" s="17" t="n">
        <v>27.82</v>
      </c>
      <c r="I12" s="17" t="n">
        <v>27.82</v>
      </c>
      <c r="J12" s="17" t="n">
        <v>37.97</v>
      </c>
      <c r="K12" s="17" t="n">
        <v>21.64</v>
      </c>
      <c r="L12" s="17" t="n">
        <v>21.64</v>
      </c>
      <c r="M12" s="17" t="n">
        <v>23.29</v>
      </c>
      <c r="N12" s="17" t="n">
        <v>6.42</v>
      </c>
      <c r="O12" s="17" t="n">
        <v>6.42</v>
      </c>
      <c r="P12" s="17" t="n">
        <v>11.97</v>
      </c>
    </row>
    <row r="13">
      <c r="A13" s="4" t="inlineStr">
        <is>
          <t>2023-10</t>
        </is>
      </c>
      <c r="B13" s="17" t="n">
        <v>111.48</v>
      </c>
      <c r="C13" s="17" t="n">
        <v>111.48</v>
      </c>
      <c r="D13" s="17" t="n">
        <v>96</v>
      </c>
      <c r="E13" s="17" t="n">
        <v>96.09999999999999</v>
      </c>
      <c r="F13" s="17" t="n">
        <v>96.09999999999999</v>
      </c>
      <c r="G13" s="17" t="n">
        <v>93.86</v>
      </c>
      <c r="H13" s="17" t="n">
        <v>29.62</v>
      </c>
      <c r="I13" s="17" t="n">
        <v>29.62</v>
      </c>
      <c r="J13" s="17" t="n">
        <v>37.52</v>
      </c>
      <c r="K13" s="17" t="n">
        <v>28.86</v>
      </c>
      <c r="L13" s="17" t="n">
        <v>28.86</v>
      </c>
      <c r="M13" s="17" t="n">
        <v>29.49</v>
      </c>
      <c r="N13" s="17" t="n">
        <v>9.789999999999999</v>
      </c>
      <c r="O13" s="17" t="n">
        <v>9.789999999999999</v>
      </c>
      <c r="P13" s="17" t="n">
        <v>12.38</v>
      </c>
    </row>
    <row r="14">
      <c r="A14" s="4" t="inlineStr">
        <is>
          <t>2023-11</t>
        </is>
      </c>
      <c r="B14" s="17" t="n">
        <v>55.81</v>
      </c>
      <c r="C14" s="17" t="n">
        <v>55.81</v>
      </c>
      <c r="D14" s="17" t="n">
        <v>99.01000000000001</v>
      </c>
      <c r="E14" s="17" t="n">
        <v>75.86</v>
      </c>
      <c r="F14" s="17" t="n">
        <v>75.86</v>
      </c>
      <c r="G14" s="17" t="n">
        <v>84.86</v>
      </c>
      <c r="H14" s="17" t="n">
        <v>26.86</v>
      </c>
      <c r="I14" s="17" t="n">
        <v>26.86</v>
      </c>
      <c r="J14" s="17" t="n">
        <v>34.48</v>
      </c>
      <c r="K14" s="17" t="n">
        <v>34.8</v>
      </c>
      <c r="L14" s="17" t="n">
        <v>34.8</v>
      </c>
      <c r="M14" s="17" t="n">
        <v>34.46</v>
      </c>
      <c r="N14" s="17" t="n">
        <v>15.04</v>
      </c>
      <c r="O14" s="17" t="n">
        <v>15.04</v>
      </c>
      <c r="P14" s="17" t="n">
        <v>12.37</v>
      </c>
    </row>
    <row r="15">
      <c r="A15" s="4" t="inlineStr">
        <is>
          <t>2023-12</t>
        </is>
      </c>
      <c r="B15" s="17" t="n">
        <v>66.14</v>
      </c>
      <c r="C15" s="17" t="n">
        <v>66.14</v>
      </c>
      <c r="D15" s="17" t="n">
        <v>65.77</v>
      </c>
      <c r="E15" s="17" t="n">
        <v>100.65</v>
      </c>
      <c r="F15" s="17" t="n">
        <v>100.65</v>
      </c>
      <c r="G15" s="17" t="n">
        <v>112</v>
      </c>
      <c r="H15" s="17" t="n">
        <v>31.44</v>
      </c>
      <c r="I15" s="17" t="n">
        <v>31.44</v>
      </c>
      <c r="J15" s="17" t="n">
        <v>40.41</v>
      </c>
      <c r="K15" s="17" t="n">
        <v>28.73</v>
      </c>
      <c r="L15" s="17" t="n">
        <v>28.73</v>
      </c>
      <c r="M15" s="17" t="n">
        <v>32.3</v>
      </c>
      <c r="N15" s="17" t="n">
        <v>10.14</v>
      </c>
      <c r="O15" s="17" t="n">
        <v>10.14</v>
      </c>
      <c r="P15" s="17" t="n">
        <v>10.83</v>
      </c>
    </row>
    <row r="16">
      <c r="A16" s="4" t="inlineStr">
        <is>
          <t>2024-01</t>
        </is>
      </c>
      <c r="B16" s="17" t="n">
        <v>80.65000000000001</v>
      </c>
      <c r="C16" s="17" t="n">
        <v>80.65000000000001</v>
      </c>
      <c r="D16" s="17" t="n">
        <v>58.57</v>
      </c>
      <c r="E16" s="17" t="n">
        <v>102.15</v>
      </c>
      <c r="F16" s="17" t="n">
        <v>102.15</v>
      </c>
      <c r="G16" s="17" t="n">
        <v>107.91</v>
      </c>
      <c r="H16" s="17" t="n">
        <v>37.59</v>
      </c>
      <c r="I16" s="17" t="n">
        <v>37.59</v>
      </c>
      <c r="J16" s="17" t="n">
        <v>33.53</v>
      </c>
      <c r="K16" s="17" t="n">
        <v>32.95</v>
      </c>
      <c r="L16" s="17" t="n">
        <v>32.95</v>
      </c>
      <c r="M16" s="17" t="n">
        <v>29.89</v>
      </c>
      <c r="N16" s="17" t="n">
        <v>9.77</v>
      </c>
      <c r="O16" s="17" t="n">
        <v>9.77</v>
      </c>
      <c r="P16" s="17" t="n">
        <v>12.69</v>
      </c>
    </row>
    <row r="17">
      <c r="A17" s="4" t="inlineStr">
        <is>
          <t>2024-02</t>
        </is>
      </c>
      <c r="B17" s="17" t="n">
        <v>32</v>
      </c>
      <c r="C17" s="17" t="n">
        <v>32</v>
      </c>
      <c r="D17" s="17" t="n">
        <v>53.13</v>
      </c>
      <c r="E17" s="17" t="n">
        <v>87.59</v>
      </c>
      <c r="F17" s="17" t="n">
        <v>87.59</v>
      </c>
      <c r="G17" s="17" t="n">
        <v>86.34</v>
      </c>
      <c r="H17" s="17" t="n">
        <v>30.09</v>
      </c>
      <c r="I17" s="17" t="n">
        <v>30.09</v>
      </c>
      <c r="J17" s="17" t="n">
        <v>32.91</v>
      </c>
      <c r="K17" s="17" t="n">
        <v>29.35</v>
      </c>
      <c r="L17" s="17" t="n">
        <v>29.35</v>
      </c>
      <c r="M17" s="17" t="n">
        <v>28.81</v>
      </c>
      <c r="N17" s="17" t="n">
        <v>46.27</v>
      </c>
      <c r="O17" s="17" t="n">
        <v>25.55</v>
      </c>
      <c r="P17" s="17" t="n">
        <v>21.38</v>
      </c>
    </row>
    <row r="18">
      <c r="A18" s="4" t="inlineStr">
        <is>
          <t>2024-03</t>
        </is>
      </c>
      <c r="B18" s="17" t="n">
        <v>36.34</v>
      </c>
      <c r="C18" s="17" t="n">
        <v>36.34</v>
      </c>
      <c r="D18" s="17" t="n">
        <v>39.78</v>
      </c>
      <c r="E18" s="17" t="n">
        <v>67.51000000000001</v>
      </c>
      <c r="F18" s="17" t="n">
        <v>67.51000000000001</v>
      </c>
      <c r="G18" s="17" t="n">
        <v>74.83</v>
      </c>
      <c r="H18" s="17" t="n">
        <v>26.48</v>
      </c>
      <c r="I18" s="17" t="n">
        <v>26.48</v>
      </c>
      <c r="J18" s="17" t="n">
        <v>24.02</v>
      </c>
      <c r="K18" s="17" t="n">
        <v>33.67</v>
      </c>
      <c r="L18" s="17" t="n">
        <v>33.67</v>
      </c>
      <c r="M18" s="17" t="n">
        <v>29.61</v>
      </c>
      <c r="N18" s="17" t="n">
        <v>2.19</v>
      </c>
      <c r="O18" s="17" t="n">
        <v>2.19</v>
      </c>
      <c r="P18" s="17" t="n">
        <v>8.57</v>
      </c>
    </row>
    <row r="19">
      <c r="A19" s="4" t="inlineStr">
        <is>
          <t>2024-04</t>
        </is>
      </c>
      <c r="B19" s="17" t="n">
        <v>33.21</v>
      </c>
      <c r="C19" s="17" t="n">
        <v>33.21</v>
      </c>
      <c r="D19" s="17" t="n">
        <v>40.1</v>
      </c>
      <c r="E19" s="17" t="n">
        <v>52.09</v>
      </c>
      <c r="F19" s="17" t="n">
        <v>52.09</v>
      </c>
      <c r="G19" s="17" t="n">
        <v>67.79000000000001</v>
      </c>
      <c r="H19" s="17" t="n">
        <v>26.98</v>
      </c>
      <c r="I19" s="17" t="n">
        <v>26.98</v>
      </c>
      <c r="J19" s="17" t="n">
        <v>28.63</v>
      </c>
      <c r="K19" s="17" t="n">
        <v>21.18</v>
      </c>
      <c r="L19" s="17" t="n">
        <v>21.18</v>
      </c>
      <c r="M19" s="17" t="n">
        <v>20.33</v>
      </c>
      <c r="N19" s="17" t="n">
        <v>5.84</v>
      </c>
      <c r="O19" s="17" t="n">
        <v>5.84</v>
      </c>
      <c r="P19" s="17" t="n">
        <v>4.24</v>
      </c>
    </row>
    <row r="20">
      <c r="A20" s="4" t="inlineStr">
        <is>
          <t>2024-05</t>
        </is>
      </c>
      <c r="B20" s="17" t="n">
        <v>65.48</v>
      </c>
      <c r="C20" s="17" t="n">
        <v>65.48</v>
      </c>
      <c r="D20" s="17" t="n">
        <v>93.08</v>
      </c>
      <c r="E20" s="17" t="n">
        <v>93.44</v>
      </c>
      <c r="F20" s="17" t="n">
        <v>93.44</v>
      </c>
      <c r="G20" s="17" t="n">
        <v>93.12</v>
      </c>
      <c r="H20" s="17" t="n">
        <v>36.78</v>
      </c>
      <c r="I20" s="17" t="n">
        <v>36.78</v>
      </c>
      <c r="J20" s="17" t="n">
        <v>27.74</v>
      </c>
      <c r="K20" s="17" t="n">
        <v>23.39</v>
      </c>
      <c r="L20" s="17" t="n">
        <v>23.39</v>
      </c>
      <c r="M20" s="17" t="n">
        <v>23.79</v>
      </c>
      <c r="N20" s="17" t="n">
        <v>4.19</v>
      </c>
      <c r="O20" s="17" t="n">
        <v>4.19</v>
      </c>
      <c r="P20" s="17" t="n">
        <v>10.43</v>
      </c>
    </row>
    <row r="21">
      <c r="A21" s="4" t="inlineStr">
        <is>
          <t>2024-06</t>
        </is>
      </c>
      <c r="B21" s="17" t="n">
        <v>50.05</v>
      </c>
      <c r="C21" s="17" t="n">
        <v>50.05</v>
      </c>
      <c r="D21" s="17" t="n">
        <v>65.16</v>
      </c>
      <c r="E21" s="17" t="n">
        <v>101.24</v>
      </c>
      <c r="F21" s="17" t="n">
        <v>101.24</v>
      </c>
      <c r="G21" s="17" t="n">
        <v>96.92</v>
      </c>
      <c r="H21" s="17" t="n">
        <v>22.66</v>
      </c>
      <c r="I21" s="17" t="n">
        <v>22.66</v>
      </c>
      <c r="J21" s="17" t="n">
        <v>25.55</v>
      </c>
      <c r="K21" s="17" t="n">
        <v>27.34</v>
      </c>
      <c r="L21" s="17" t="n">
        <v>27.34</v>
      </c>
      <c r="M21" s="17" t="n">
        <v>27.86</v>
      </c>
      <c r="N21" s="17" t="n">
        <v>4.14</v>
      </c>
      <c r="O21" s="17" t="n">
        <v>4.14</v>
      </c>
      <c r="P21" s="17" t="n">
        <v>11.79</v>
      </c>
    </row>
    <row r="22">
      <c r="A22" s="4" t="inlineStr">
        <is>
          <t>2024-07</t>
        </is>
      </c>
      <c r="B22" s="17" t="n">
        <v>68.77</v>
      </c>
      <c r="C22" s="17" t="n">
        <v>68.77</v>
      </c>
      <c r="D22" s="17" t="n">
        <v>69.67</v>
      </c>
      <c r="E22" s="17" t="n">
        <v>413.58</v>
      </c>
      <c r="F22" s="17" t="n">
        <v>142.08</v>
      </c>
      <c r="G22" s="17" t="n">
        <v>108.07</v>
      </c>
      <c r="H22" s="17" t="n">
        <v>21.51</v>
      </c>
      <c r="I22" s="17" t="n">
        <v>21.51</v>
      </c>
      <c r="J22" s="17" t="n">
        <v>26.38</v>
      </c>
      <c r="K22" s="17" t="n">
        <v>19.47</v>
      </c>
      <c r="L22" s="17" t="n">
        <v>19.47</v>
      </c>
      <c r="M22" s="17" t="n">
        <v>21.91</v>
      </c>
      <c r="N22" s="17" t="n">
        <v>12.74</v>
      </c>
      <c r="O22" s="17" t="n">
        <v>12.74</v>
      </c>
      <c r="P22" s="17" t="n">
        <v>11.24</v>
      </c>
    </row>
    <row r="23">
      <c r="A23" s="4" t="inlineStr">
        <is>
          <t>2024-08</t>
        </is>
      </c>
      <c r="B23" s="17" t="n">
        <v>60.85</v>
      </c>
      <c r="C23" s="17" t="n">
        <v>60.85</v>
      </c>
      <c r="D23" s="17" t="n">
        <v>69.04000000000001</v>
      </c>
      <c r="E23" s="17" t="n">
        <v>107.22</v>
      </c>
      <c r="F23" s="17" t="n">
        <v>107.22</v>
      </c>
      <c r="G23" s="17" t="n">
        <v>96.17</v>
      </c>
      <c r="H23" s="17" t="n">
        <v>19.35</v>
      </c>
      <c r="I23" s="17" t="n">
        <v>19.35</v>
      </c>
      <c r="J23" s="17" t="n">
        <v>23.17</v>
      </c>
      <c r="K23" s="17" t="n">
        <v>23.77</v>
      </c>
      <c r="L23" s="17" t="n">
        <v>23.77</v>
      </c>
      <c r="M23" s="17" t="n">
        <v>23.07</v>
      </c>
      <c r="N23" s="17" t="n">
        <v>6.52</v>
      </c>
      <c r="O23" s="17" t="n">
        <v>6.52</v>
      </c>
      <c r="P23" s="17" t="n">
        <v>2.34</v>
      </c>
    </row>
    <row r="24">
      <c r="A24" s="4" t="inlineStr">
        <is>
          <t>2024-09</t>
        </is>
      </c>
      <c r="B24" s="17" t="n">
        <v>63.05</v>
      </c>
      <c r="C24" s="17" t="n">
        <v>63.05</v>
      </c>
      <c r="D24" s="17" t="n">
        <v>79.48999999999999</v>
      </c>
      <c r="E24" s="17" t="n">
        <v>99.97</v>
      </c>
      <c r="F24" s="17" t="n">
        <v>99.97</v>
      </c>
      <c r="G24" s="17" t="n">
        <v>90.91</v>
      </c>
      <c r="H24" s="17" t="n">
        <v>17.59</v>
      </c>
      <c r="I24" s="17" t="n">
        <v>17.59</v>
      </c>
      <c r="J24" s="17" t="n">
        <v>17.79</v>
      </c>
      <c r="K24" s="17" t="n">
        <v>26.52</v>
      </c>
      <c r="L24" s="17" t="n">
        <v>26.52</v>
      </c>
      <c r="M24" s="17" t="n">
        <v>22.88</v>
      </c>
      <c r="N24" s="17" t="n">
        <v>5.19</v>
      </c>
      <c r="O24" s="17" t="n">
        <v>5.19</v>
      </c>
      <c r="P24" s="17" t="n">
        <v>8.550000000000001</v>
      </c>
    </row>
    <row r="25">
      <c r="A25" s="4" t="inlineStr">
        <is>
          <t>2024-10</t>
        </is>
      </c>
      <c r="B25" s="17" t="n">
        <v>173.08</v>
      </c>
      <c r="C25" s="17" t="n">
        <v>145.04</v>
      </c>
      <c r="D25" s="17" t="n">
        <v>100.85</v>
      </c>
      <c r="E25" s="17" t="n">
        <v>99.02</v>
      </c>
      <c r="F25" s="17" t="n">
        <v>99.02</v>
      </c>
      <c r="G25" s="17" t="n">
        <v>97.02</v>
      </c>
      <c r="H25" s="17" t="n">
        <v>16.6</v>
      </c>
      <c r="I25" s="17" t="n">
        <v>16.6</v>
      </c>
      <c r="J25" s="17" t="n">
        <v>17.77</v>
      </c>
      <c r="K25" s="17" t="n">
        <v>37.46</v>
      </c>
      <c r="L25" s="17" t="n">
        <v>37.46</v>
      </c>
      <c r="M25" s="17" t="n">
        <v>32.24</v>
      </c>
      <c r="N25" s="17" t="n">
        <v>11.62</v>
      </c>
      <c r="O25" s="17" t="n">
        <v>11.62</v>
      </c>
      <c r="P25" s="17" t="n">
        <v>8.039999999999999</v>
      </c>
    </row>
    <row r="26">
      <c r="A26" s="4" t="inlineStr">
        <is>
          <t>2024-11</t>
        </is>
      </c>
      <c r="B26" s="17" t="n">
        <v>110.75</v>
      </c>
      <c r="C26" s="17" t="n">
        <v>110.75</v>
      </c>
      <c r="D26" s="17" t="n">
        <v>103.85</v>
      </c>
      <c r="E26" s="17" t="n">
        <v>108</v>
      </c>
      <c r="F26" s="17" t="n">
        <v>108</v>
      </c>
      <c r="G26" s="17" t="n">
        <v>87.70999999999999</v>
      </c>
      <c r="H26" s="17" t="n">
        <v>27.52</v>
      </c>
      <c r="I26" s="17" t="n">
        <v>27.52</v>
      </c>
      <c r="J26" s="17" t="n">
        <v>16.63</v>
      </c>
      <c r="K26" s="17" t="n">
        <v>39.89</v>
      </c>
      <c r="L26" s="17" t="n">
        <v>39.89</v>
      </c>
      <c r="M26" s="17" t="n">
        <v>40.99</v>
      </c>
      <c r="N26" s="17" t="n">
        <v>4.37</v>
      </c>
      <c r="O26" s="17" t="n">
        <v>4.37</v>
      </c>
      <c r="P26" s="17" t="n">
        <v>8.199999999999999</v>
      </c>
    </row>
    <row r="27">
      <c r="A27" s="4" t="inlineStr">
        <is>
          <t>2024-12</t>
        </is>
      </c>
      <c r="B27" s="17" t="n">
        <v>84.90000000000001</v>
      </c>
      <c r="C27" s="17" t="n">
        <v>84.90000000000001</v>
      </c>
      <c r="D27" s="17" t="n">
        <v>70.62</v>
      </c>
      <c r="E27" s="17" t="n">
        <v>211.65</v>
      </c>
      <c r="F27" s="17" t="n">
        <v>142.08</v>
      </c>
      <c r="G27" s="17" t="n">
        <v>114.57</v>
      </c>
      <c r="H27" s="17" t="n">
        <v>21.15</v>
      </c>
      <c r="I27" s="17" t="n">
        <v>21.15</v>
      </c>
      <c r="J27" s="17" t="n">
        <v>25.59</v>
      </c>
      <c r="K27" s="17" t="n">
        <v>38.95</v>
      </c>
      <c r="L27" s="17" t="n">
        <v>38.95</v>
      </c>
      <c r="M27" s="17" t="n">
        <v>37.76</v>
      </c>
      <c r="N27" s="17" t="n">
        <v>4.81</v>
      </c>
      <c r="O27" s="17" t="n">
        <v>4.81</v>
      </c>
      <c r="P27" s="17" t="n">
        <v>6.03</v>
      </c>
    </row>
    <row r="28">
      <c r="A28" s="4" t="inlineStr">
        <is>
          <t>2025-01</t>
        </is>
      </c>
      <c r="B28" s="17" t="n">
        <v>65.48</v>
      </c>
      <c r="C28" s="17" t="n">
        <v>65.48</v>
      </c>
      <c r="D28" s="17" t="n">
        <v>63.42</v>
      </c>
      <c r="E28" s="17" t="n">
        <v>112.81</v>
      </c>
      <c r="F28" s="17" t="n">
        <v>112.81</v>
      </c>
      <c r="G28" s="17" t="n">
        <v>110.24</v>
      </c>
      <c r="H28" s="17" t="n">
        <v>21.55</v>
      </c>
      <c r="I28" s="17" t="n">
        <v>21.55</v>
      </c>
      <c r="J28" s="17" t="n">
        <v>23.99</v>
      </c>
      <c r="K28" s="17" t="n">
        <v>29.78</v>
      </c>
      <c r="L28" s="17" t="n">
        <v>29.78</v>
      </c>
      <c r="M28" s="17" t="n">
        <v>37.43</v>
      </c>
      <c r="N28" s="17" t="n">
        <v>13.39</v>
      </c>
      <c r="O28" s="17" t="n">
        <v>13.39</v>
      </c>
      <c r="P28" s="17" t="n">
        <v>6.12</v>
      </c>
    </row>
    <row r="29">
      <c r="A29" s="4" t="inlineStr">
        <is>
          <t>2025-02</t>
        </is>
      </c>
      <c r="B29" s="17" t="n">
        <v>58.65</v>
      </c>
      <c r="C29" s="17" t="n">
        <v>58.65</v>
      </c>
      <c r="D29" s="17" t="n">
        <v>57.98</v>
      </c>
      <c r="E29" s="17" t="n">
        <v>85.19</v>
      </c>
      <c r="F29" s="17" t="n">
        <v>85.19</v>
      </c>
      <c r="G29" s="17" t="n">
        <v>88.44</v>
      </c>
      <c r="H29" s="17" t="n">
        <v>20.92</v>
      </c>
      <c r="I29" s="17" t="n">
        <v>20.92</v>
      </c>
      <c r="J29" s="17" t="n">
        <v>24.08</v>
      </c>
      <c r="K29" s="17" t="n">
        <v>28.99</v>
      </c>
      <c r="L29" s="17" t="n">
        <v>28.99</v>
      </c>
      <c r="M29" s="17" t="n">
        <v>31.08</v>
      </c>
      <c r="N29" s="17" t="n">
        <v>3.95</v>
      </c>
      <c r="O29" s="17" t="n">
        <v>3.95</v>
      </c>
      <c r="P29" s="17" t="n">
        <v>11.75</v>
      </c>
    </row>
    <row r="30">
      <c r="A30" s="4" t="inlineStr">
        <is>
          <t>2025-03</t>
        </is>
      </c>
      <c r="B30" s="17" t="n">
        <v>56.65</v>
      </c>
      <c r="C30" s="17" t="n">
        <v>56.65</v>
      </c>
      <c r="D30" s="17" t="n">
        <v>44.64</v>
      </c>
      <c r="E30" s="17" t="n">
        <v>69.19</v>
      </c>
      <c r="F30" s="17" t="n">
        <v>69.19</v>
      </c>
      <c r="G30" s="17" t="n">
        <v>76.72</v>
      </c>
      <c r="H30" s="17" t="n">
        <v>16.58</v>
      </c>
      <c r="I30" s="17" t="n">
        <v>16.58</v>
      </c>
      <c r="J30" s="17" t="n">
        <v>18.3</v>
      </c>
      <c r="K30" s="17" t="n">
        <v>27.02</v>
      </c>
      <c r="L30" s="17" t="n">
        <v>27.02</v>
      </c>
      <c r="M30" s="17" t="n">
        <v>30.65</v>
      </c>
      <c r="N30" s="17" t="n">
        <v>3.81</v>
      </c>
      <c r="O30" s="17" t="n">
        <v>3.81</v>
      </c>
      <c r="P30" s="17" t="n">
        <v>3.97</v>
      </c>
    </row>
    <row r="31">
      <c r="A31" s="4" t="inlineStr">
        <is>
          <t>2025-04</t>
        </is>
      </c>
      <c r="B31" s="17" t="n">
        <v>39.9</v>
      </c>
      <c r="C31" s="17" t="n">
        <v>39.9</v>
      </c>
      <c r="D31" s="17" t="n">
        <v>44.96</v>
      </c>
      <c r="E31" s="17" t="n">
        <v>68.04000000000001</v>
      </c>
      <c r="F31" s="17" t="n">
        <v>68.04000000000001</v>
      </c>
      <c r="G31" s="17" t="n">
        <v>69.5</v>
      </c>
      <c r="H31" s="17" t="n">
        <v>14.69</v>
      </c>
      <c r="I31" s="17" t="n">
        <v>14.69</v>
      </c>
      <c r="J31" s="17" t="n">
        <v>21.29</v>
      </c>
      <c r="K31" s="17" t="n">
        <v>15.46</v>
      </c>
      <c r="L31" s="17" t="n">
        <v>15.46</v>
      </c>
      <c r="M31" s="17" t="n">
        <v>18.66</v>
      </c>
      <c r="N31" s="17" t="n">
        <v>1.33</v>
      </c>
      <c r="O31" s="17" t="n">
        <v>1.33</v>
      </c>
      <c r="P31" s="17" t="n">
        <v>2.08</v>
      </c>
    </row>
    <row r="32">
      <c r="A32" s="4" t="inlineStr">
        <is>
          <t>2025-05</t>
        </is>
      </c>
      <c r="B32" s="17" t="n">
        <v>342.15</v>
      </c>
      <c r="C32" s="17" t="n">
        <v>145.04</v>
      </c>
      <c r="D32" s="17" t="n">
        <v>97.93000000000001</v>
      </c>
      <c r="E32" s="17" t="n">
        <v>74.83</v>
      </c>
      <c r="F32" s="17" t="n">
        <v>74.83</v>
      </c>
      <c r="G32" s="17" t="n">
        <v>94.66</v>
      </c>
      <c r="H32" s="17" t="n">
        <v>29.92</v>
      </c>
      <c r="I32" s="17" t="n">
        <v>29.92</v>
      </c>
      <c r="J32" s="17" t="n">
        <v>19.02</v>
      </c>
      <c r="K32" s="17" t="n">
        <v>23.52</v>
      </c>
      <c r="L32" s="17" t="n">
        <v>23.52</v>
      </c>
      <c r="M32" s="17" t="n">
        <v>19.67</v>
      </c>
      <c r="N32" s="17" t="n">
        <v>12.42</v>
      </c>
      <c r="O32" s="17" t="n">
        <v>12.42</v>
      </c>
      <c r="P32" s="17" t="n">
        <v>4.31</v>
      </c>
    </row>
    <row r="33">
      <c r="A33" s="4" t="inlineStr">
        <is>
          <t>2025-06</t>
        </is>
      </c>
      <c r="B33" s="17" t="n">
        <v>31.98</v>
      </c>
      <c r="C33" s="17" t="n">
        <v>31.98</v>
      </c>
      <c r="D33" s="17" t="n">
        <v>70.01000000000001</v>
      </c>
      <c r="E33" s="17" t="n">
        <v>98.45999999999999</v>
      </c>
      <c r="F33" s="17" t="n">
        <v>98.45999999999999</v>
      </c>
      <c r="G33" s="17" t="n">
        <v>98.31</v>
      </c>
      <c r="H33" s="17" t="n">
        <v>16.61</v>
      </c>
      <c r="I33" s="17" t="n">
        <v>16.61</v>
      </c>
      <c r="J33" s="17" t="n">
        <v>18.38</v>
      </c>
      <c r="K33" s="17" t="n">
        <v>24.11</v>
      </c>
      <c r="L33" s="17" t="n">
        <v>24.11</v>
      </c>
      <c r="M33" s="17" t="n">
        <v>25.37</v>
      </c>
      <c r="N33" s="17" t="n">
        <v>2.24</v>
      </c>
      <c r="O33" s="17" t="n">
        <v>2.24</v>
      </c>
      <c r="P33" s="17" t="n">
        <v>6.94</v>
      </c>
    </row>
    <row r="34">
      <c r="A34" s="4" t="inlineStr">
        <is>
          <t>2025-07</t>
        </is>
      </c>
      <c r="B34" s="17" t="n">
        <v>78.75</v>
      </c>
      <c r="C34" s="17" t="n">
        <v>78.75</v>
      </c>
      <c r="D34" s="17" t="n">
        <v>74.53</v>
      </c>
      <c r="E34" s="17" t="n">
        <v>84.65000000000001</v>
      </c>
      <c r="F34" s="17" t="n">
        <v>84.65000000000001</v>
      </c>
      <c r="G34" s="17" t="n">
        <v>109.33</v>
      </c>
      <c r="H34" s="17" t="n">
        <v>30.47</v>
      </c>
      <c r="I34" s="17" t="n">
        <v>30.47</v>
      </c>
      <c r="J34" s="17" t="n">
        <v>19.19</v>
      </c>
      <c r="K34" s="17" t="n">
        <v>17.2</v>
      </c>
      <c r="L34" s="17" t="n">
        <v>17.2</v>
      </c>
      <c r="M34" s="17" t="n">
        <v>19.66</v>
      </c>
      <c r="N34" s="17" t="n">
        <v>7.38</v>
      </c>
      <c r="O34" s="17" t="n">
        <v>7.38</v>
      </c>
      <c r="P34" s="17" t="n">
        <v>7.65</v>
      </c>
    </row>
    <row r="35">
      <c r="A35" s="4" t="inlineStr">
        <is>
          <t>2025-08</t>
        </is>
      </c>
      <c r="B35" s="17" t="n">
        <v>49.86</v>
      </c>
      <c r="C35" s="17" t="n">
        <v>49.86</v>
      </c>
      <c r="D35" s="17" t="n">
        <v>73.90000000000001</v>
      </c>
      <c r="E35" s="17" t="n">
        <v>80.7</v>
      </c>
      <c r="F35" s="17" t="n">
        <v>80.7</v>
      </c>
      <c r="G35" s="17" t="n">
        <v>97.3</v>
      </c>
      <c r="H35" s="17" t="n">
        <v>25.46</v>
      </c>
      <c r="I35" s="17" t="n">
        <v>25.46</v>
      </c>
      <c r="J35" s="17" t="n">
        <v>21.55</v>
      </c>
      <c r="K35" s="17" t="n">
        <v>19.43</v>
      </c>
      <c r="L35" s="17" t="n">
        <v>19.43</v>
      </c>
      <c r="M35" s="17" t="n">
        <v>20.55</v>
      </c>
      <c r="N35" s="17" t="n">
        <v>0.51</v>
      </c>
      <c r="O35" s="17" t="n">
        <v>0.51</v>
      </c>
      <c r="P35" s="17" t="n">
        <v>1.84</v>
      </c>
    </row>
    <row r="36">
      <c r="A36" s="4" t="inlineStr">
        <is>
          <t>2025-09</t>
        </is>
      </c>
      <c r="B36" s="17" t="n">
        <v>60.44</v>
      </c>
      <c r="C36" s="17" t="n">
        <v>60.44</v>
      </c>
      <c r="D36" s="17" t="n">
        <v>84.34999999999999</v>
      </c>
      <c r="E36" s="17" t="n">
        <v>84.43000000000001</v>
      </c>
      <c r="F36" s="17" t="n">
        <v>84.43000000000001</v>
      </c>
      <c r="G36" s="17" t="n">
        <v>91.92</v>
      </c>
      <c r="H36" s="17" t="n">
        <v>25.87</v>
      </c>
      <c r="I36" s="17" t="n">
        <v>25.87</v>
      </c>
      <c r="J36" s="17" t="n">
        <v>20.16</v>
      </c>
      <c r="K36" s="17" t="n">
        <v>20.58</v>
      </c>
      <c r="L36" s="17" t="n">
        <v>20.58</v>
      </c>
      <c r="M36" s="17" t="n">
        <v>19.58</v>
      </c>
      <c r="N36" s="17" t="n">
        <v>13.15</v>
      </c>
      <c r="O36" s="17" t="n">
        <v>13.15</v>
      </c>
      <c r="P36" s="17" t="n">
        <v>4.92</v>
      </c>
    </row>
    <row r="37">
      <c r="A37" s="4" t="inlineStr">
        <is>
          <t>2025-10</t>
        </is>
      </c>
      <c r="B37" s="17" t="n">
        <v>46.35</v>
      </c>
      <c r="C37" s="17" t="n">
        <v>46.35</v>
      </c>
      <c r="D37" s="17" t="n">
        <v>105.71</v>
      </c>
      <c r="E37" s="17" t="n">
        <v>93.53</v>
      </c>
      <c r="F37" s="17" t="n">
        <v>93.53</v>
      </c>
      <c r="G37" s="17" t="n">
        <v>97.93000000000001</v>
      </c>
      <c r="H37" s="17" t="n">
        <v>35.41</v>
      </c>
      <c r="I37" s="17" t="n">
        <v>35.41</v>
      </c>
      <c r="J37" s="17" t="n">
        <v>24.45</v>
      </c>
      <c r="K37" s="17" t="n">
        <v>19.77</v>
      </c>
      <c r="L37" s="17" t="n">
        <v>19.77</v>
      </c>
      <c r="M37" s="17" t="n">
        <v>26.27</v>
      </c>
      <c r="N37" s="17" t="n">
        <v>3.77</v>
      </c>
      <c r="O37" s="17" t="n">
        <v>3.77</v>
      </c>
      <c r="P37" s="17" t="n">
        <v>6.21</v>
      </c>
    </row>
    <row r="38">
      <c r="A38" s="4" t="inlineStr">
        <is>
          <t>2025-11</t>
        </is>
      </c>
      <c r="B38" s="17" t="n">
        <v>704.28</v>
      </c>
      <c r="C38" s="17" t="n">
        <v>145.04</v>
      </c>
      <c r="D38" s="17" t="n">
        <v>108.7</v>
      </c>
      <c r="E38" s="17" t="n">
        <v>78.55</v>
      </c>
      <c r="F38" s="17" t="n">
        <v>78.55</v>
      </c>
      <c r="G38" s="17" t="n">
        <v>88.53</v>
      </c>
      <c r="H38" s="17" t="n">
        <v>27.86</v>
      </c>
      <c r="I38" s="17" t="n">
        <v>27.86</v>
      </c>
      <c r="J38" s="17" t="n">
        <v>29.71</v>
      </c>
      <c r="K38" s="17" t="n">
        <v>28.36</v>
      </c>
      <c r="L38" s="17" t="n">
        <v>28.36</v>
      </c>
      <c r="M38" s="17" t="n">
        <v>27.37</v>
      </c>
      <c r="N38" s="17" t="n">
        <v>1.51</v>
      </c>
      <c r="O38" s="17" t="n">
        <v>1.51</v>
      </c>
      <c r="P38" s="17" t="n">
        <v>6.02</v>
      </c>
    </row>
    <row r="39">
      <c r="A39" s="4" t="inlineStr">
        <is>
          <t>2025-12</t>
        </is>
      </c>
      <c r="B39" s="17" t="n">
        <v>60.7</v>
      </c>
      <c r="C39" s="17" t="n">
        <v>60.7</v>
      </c>
      <c r="D39" s="17" t="n">
        <v>75.47</v>
      </c>
      <c r="E39" s="17" t="n">
        <v>97.59</v>
      </c>
      <c r="F39" s="17" t="n">
        <v>97.59</v>
      </c>
      <c r="G39" s="17" t="n">
        <v>115.31</v>
      </c>
      <c r="H39" s="17" t="n">
        <v>51.51</v>
      </c>
      <c r="I39" s="17" t="n">
        <v>51.51</v>
      </c>
      <c r="J39" s="17" t="n">
        <v>41.72</v>
      </c>
      <c r="K39" s="17" t="n">
        <v>28.26</v>
      </c>
      <c r="L39" s="17" t="n">
        <v>28.26</v>
      </c>
      <c r="M39" s="17" t="n">
        <v>25.97</v>
      </c>
      <c r="N39" s="17" t="n">
        <v>1.76</v>
      </c>
      <c r="O39" s="17" t="n">
        <v>1.76</v>
      </c>
      <c r="P39" s="17" t="n">
        <v>4.29</v>
      </c>
    </row>
    <row r="40">
      <c r="A40" s="4" t="inlineStr">
        <is>
          <t>2026-01</t>
        </is>
      </c>
      <c r="B40" s="17" t="n">
        <v>35.88</v>
      </c>
      <c r="C40" s="17" t="n">
        <v>35.88</v>
      </c>
      <c r="D40" s="17" t="n">
        <v>68.27</v>
      </c>
      <c r="E40" s="17" t="n">
        <v>118.02</v>
      </c>
      <c r="F40" s="17" t="n">
        <v>118.02</v>
      </c>
      <c r="G40" s="17" t="n">
        <v>110.9</v>
      </c>
      <c r="H40" s="17" t="n">
        <v>37.2</v>
      </c>
      <c r="I40" s="17" t="n">
        <v>37.2</v>
      </c>
      <c r="J40" s="17" t="n">
        <v>45.43</v>
      </c>
      <c r="K40" s="17" t="n">
        <v>33.8</v>
      </c>
      <c r="L40" s="17" t="n">
        <v>33.8</v>
      </c>
      <c r="M40" s="17" t="n">
        <v>26.42</v>
      </c>
      <c r="N40" s="17" t="n">
        <v>4.14</v>
      </c>
      <c r="O40" s="17" t="n">
        <v>4.14</v>
      </c>
      <c r="P40" s="17" t="n">
        <v>3.99</v>
      </c>
    </row>
    <row r="41">
      <c r="A41" s="4" t="inlineStr">
        <is>
          <t>2026-02</t>
        </is>
      </c>
      <c r="B41" s="17" t="n">
        <v>99.73</v>
      </c>
      <c r="C41" s="17" t="n">
        <v>99.73</v>
      </c>
      <c r="D41" s="17" t="n">
        <v>62.82</v>
      </c>
      <c r="E41" s="17" t="n">
        <v>90.62</v>
      </c>
      <c r="F41" s="17" t="n">
        <v>90.62</v>
      </c>
      <c r="G41" s="17" t="n">
        <v>89.03</v>
      </c>
      <c r="H41" s="17" t="n">
        <v>55.48</v>
      </c>
      <c r="I41" s="17" t="n">
        <v>55.48</v>
      </c>
      <c r="J41" s="17" t="n">
        <v>47.1</v>
      </c>
      <c r="K41" s="17" t="n">
        <v>30.18</v>
      </c>
      <c r="L41" s="17" t="n">
        <v>30.18</v>
      </c>
      <c r="M41" s="17" t="n">
        <v>27.51</v>
      </c>
      <c r="N41" s="17" t="n">
        <v>1.61</v>
      </c>
      <c r="O41" s="17" t="n">
        <v>1.61</v>
      </c>
      <c r="P41" s="17" t="n">
        <v>5.78</v>
      </c>
    </row>
    <row r="42">
      <c r="A42" s="4" t="inlineStr">
        <is>
          <t>2026-03</t>
        </is>
      </c>
      <c r="B42" s="17" t="n">
        <v>43.03</v>
      </c>
      <c r="C42" s="17" t="n">
        <v>43.03</v>
      </c>
      <c r="D42" s="17" t="n">
        <v>49.48</v>
      </c>
      <c r="E42" s="17" t="n">
        <v>63.8</v>
      </c>
      <c r="F42" s="17" t="n">
        <v>63.8</v>
      </c>
      <c r="G42" s="17" t="n">
        <v>77.26000000000001</v>
      </c>
      <c r="H42" s="17" t="n">
        <v>30.08</v>
      </c>
      <c r="I42" s="17" t="n">
        <v>30.08</v>
      </c>
      <c r="J42" s="17" t="n">
        <v>40.99</v>
      </c>
      <c r="K42" s="17" t="n">
        <v>28.24</v>
      </c>
      <c r="L42" s="17" t="n">
        <v>28.24</v>
      </c>
      <c r="M42" s="17" t="n">
        <v>29.31</v>
      </c>
      <c r="N42" s="17" t="n">
        <v>1.16</v>
      </c>
      <c r="O42" s="17" t="n">
        <v>1.16</v>
      </c>
      <c r="P42" s="17" t="n">
        <v>1.51</v>
      </c>
    </row>
    <row r="43">
      <c r="A43" s="4" t="inlineStr">
        <is>
          <t>2026-04</t>
        </is>
      </c>
      <c r="B43" s="17" t="n">
        <v>61.97</v>
      </c>
      <c r="C43" s="17" t="n">
        <v>61.97</v>
      </c>
      <c r="D43" s="17" t="n">
        <v>49.8</v>
      </c>
      <c r="E43" s="17" t="n">
        <v>101.67</v>
      </c>
      <c r="F43" s="17" t="n">
        <v>101.67</v>
      </c>
      <c r="G43" s="17" t="n">
        <v>69.98</v>
      </c>
      <c r="H43" s="17" t="n">
        <v>63.37</v>
      </c>
      <c r="I43" s="17" t="n">
        <v>63.37</v>
      </c>
      <c r="J43" s="17" t="n">
        <v>47.99</v>
      </c>
      <c r="K43" s="17" t="n">
        <v>16.34</v>
      </c>
      <c r="L43" s="17" t="n">
        <v>16.34</v>
      </c>
      <c r="M43" s="17" t="n">
        <v>18.57</v>
      </c>
      <c r="N43" s="17" t="n">
        <v>19.94</v>
      </c>
      <c r="O43" s="17" t="n">
        <v>19.94</v>
      </c>
      <c r="P43" s="17" t="n">
        <v>0.5</v>
      </c>
    </row>
    <row r="44">
      <c r="A44" s="4" t="inlineStr">
        <is>
          <t>2026-05</t>
        </is>
      </c>
      <c r="B44" s="17" t="n">
        <v>77.56</v>
      </c>
      <c r="C44" s="17" t="n">
        <v>77.56</v>
      </c>
      <c r="D44" s="17" t="n">
        <v>102.78</v>
      </c>
      <c r="E44" s="17" t="n">
        <v>113.36</v>
      </c>
      <c r="F44" s="17" t="n">
        <v>113.36</v>
      </c>
      <c r="G44" s="17" t="n">
        <v>95.09999999999999</v>
      </c>
      <c r="H44" s="17" t="n">
        <v>39.23</v>
      </c>
      <c r="I44" s="17" t="n">
        <v>39.23</v>
      </c>
      <c r="J44" s="17" t="n">
        <v>54.64</v>
      </c>
      <c r="K44" s="17" t="n">
        <v>18.54</v>
      </c>
      <c r="L44" s="17" t="n">
        <v>18.54</v>
      </c>
      <c r="M44" s="17" t="n">
        <v>20.09</v>
      </c>
      <c r="N44" s="17" t="n">
        <v>3.15</v>
      </c>
      <c r="O44" s="17" t="n">
        <v>3.15</v>
      </c>
      <c r="P44" s="17" t="n">
        <v>9.359999999999999</v>
      </c>
    </row>
    <row r="45">
      <c r="A45" s="4" t="inlineStr">
        <is>
          <t>2026-06</t>
        </is>
      </c>
      <c r="B45" s="17" t="n">
        <v>496</v>
      </c>
      <c r="C45" s="17" t="n">
        <v>145.04</v>
      </c>
      <c r="D45" s="17" t="n">
        <v>74.84999999999999</v>
      </c>
      <c r="E45" s="17" t="n">
        <v>113.91</v>
      </c>
      <c r="F45" s="17" t="n">
        <v>113.91</v>
      </c>
      <c r="G45" s="17" t="n">
        <v>98.70999999999999</v>
      </c>
      <c r="H45" s="17" t="n">
        <v>40.23</v>
      </c>
      <c r="I45" s="17" t="n">
        <v>40.23</v>
      </c>
      <c r="J45" s="17" t="n">
        <v>44.49</v>
      </c>
      <c r="K45" s="17" t="n">
        <v>24.79</v>
      </c>
      <c r="L45" s="17" t="n">
        <v>24.79</v>
      </c>
      <c r="M45" s="17" t="n">
        <v>22.85</v>
      </c>
      <c r="N45" s="17" t="n">
        <v>37.2</v>
      </c>
      <c r="O45" s="17" t="n">
        <v>25.55</v>
      </c>
      <c r="P45" s="17" t="n">
        <v>15.31</v>
      </c>
    </row>
    <row r="46">
      <c r="A46" s="4" t="inlineStr">
        <is>
          <t>2026-07</t>
        </is>
      </c>
      <c r="B46" s="17" t="n">
        <v>70.31999999999999</v>
      </c>
      <c r="C46" s="17" t="n">
        <v>70.31999999999999</v>
      </c>
      <c r="D46" s="17" t="n">
        <v>79.38</v>
      </c>
      <c r="E46" s="17" t="n">
        <v>99.75</v>
      </c>
      <c r="F46" s="17" t="n">
        <v>99.75</v>
      </c>
      <c r="G46" s="17" t="n">
        <v>109.68</v>
      </c>
      <c r="H46" s="17" t="n">
        <v>35.47</v>
      </c>
      <c r="I46" s="17" t="n">
        <v>35.47</v>
      </c>
      <c r="J46" s="17" t="n">
        <v>45.72</v>
      </c>
      <c r="K46" s="17" t="n">
        <v>18.86</v>
      </c>
      <c r="L46" s="17" t="n">
        <v>18.86</v>
      </c>
      <c r="M46" s="17" t="n">
        <v>18.86</v>
      </c>
      <c r="N46" s="17" t="n">
        <v>47.34</v>
      </c>
      <c r="O46" s="17" t="n">
        <v>25.55</v>
      </c>
      <c r="P46" s="17" t="n">
        <v>25.4</v>
      </c>
    </row>
    <row r="47">
      <c r="A47" s="4" t="inlineStr">
        <is>
          <t>2026-08</t>
        </is>
      </c>
      <c r="B47" s="17" t="n">
        <v>108.73</v>
      </c>
      <c r="C47" s="17" t="n">
        <v>108.73</v>
      </c>
      <c r="D47" s="17" t="n">
        <v>78.75</v>
      </c>
      <c r="E47" s="17" t="n">
        <v>95.63</v>
      </c>
      <c r="F47" s="17" t="n">
        <v>95.63</v>
      </c>
      <c r="G47" s="17" t="n">
        <v>97.62</v>
      </c>
      <c r="H47" s="17" t="n">
        <v>32.17</v>
      </c>
      <c r="I47" s="17" t="n">
        <v>32.17</v>
      </c>
      <c r="J47" s="17" t="n">
        <v>39.32</v>
      </c>
      <c r="K47" s="17" t="n">
        <v>19.09</v>
      </c>
      <c r="L47" s="17" t="n">
        <v>19.09</v>
      </c>
      <c r="M47" s="17" t="n">
        <v>20.96</v>
      </c>
      <c r="N47" s="17" t="n">
        <v>1.3</v>
      </c>
      <c r="O47" s="17" t="n">
        <v>1.3</v>
      </c>
      <c r="P47" s="17" t="n">
        <v>7.68</v>
      </c>
    </row>
    <row r="48">
      <c r="A48" s="4" t="inlineStr">
        <is>
          <t>2026-09</t>
        </is>
      </c>
      <c r="B48" s="17" t="n">
        <v>59.03</v>
      </c>
      <c r="C48" s="17" t="n">
        <v>59.03</v>
      </c>
      <c r="D48" s="17" t="n">
        <v>89.2</v>
      </c>
      <c r="E48" s="17" t="n">
        <v>89.75</v>
      </c>
      <c r="F48" s="17" t="n">
        <v>89.75</v>
      </c>
      <c r="G48" s="17" t="n">
        <v>92.22</v>
      </c>
      <c r="H48" s="17" t="n">
        <v>37.13</v>
      </c>
      <c r="I48" s="17" t="n">
        <v>37.13</v>
      </c>
      <c r="J48" s="17" t="n">
        <v>29.63</v>
      </c>
      <c r="K48" s="17" t="n">
        <v>16.07</v>
      </c>
      <c r="L48" s="17" t="n">
        <v>16.07</v>
      </c>
      <c r="M48" s="17" t="n">
        <v>19.63</v>
      </c>
      <c r="N48" s="17" t="n">
        <v>40.89</v>
      </c>
      <c r="O48" s="17" t="n">
        <v>25.55</v>
      </c>
      <c r="P48" s="17" t="n">
        <v>25.11</v>
      </c>
    </row>
    <row r="49">
      <c r="A49" s="4" t="inlineStr">
        <is>
          <t>2026-10 (توقع)</t>
        </is>
      </c>
      <c r="B49" s="17" t="n"/>
      <c r="C49" s="17" t="n"/>
      <c r="D49" s="17" t="n">
        <v>110.56</v>
      </c>
      <c r="E49" s="17" t="n"/>
      <c r="F49" s="17" t="n"/>
      <c r="G49" s="17" t="n">
        <v>98.2</v>
      </c>
      <c r="H49" s="17" t="n"/>
      <c r="I49" s="17" t="n"/>
      <c r="J49" s="17" t="n">
        <v>31.89</v>
      </c>
      <c r="K49" s="17" t="n"/>
      <c r="L49" s="17" t="n"/>
      <c r="M49" s="17" t="n">
        <v>23.51</v>
      </c>
      <c r="N49" s="17" t="n"/>
      <c r="O49" s="17" t="n"/>
      <c r="P49" s="17" t="n">
        <v>28.84</v>
      </c>
    </row>
    <row r="50">
      <c r="A50" s="4" t="inlineStr">
        <is>
          <t>2026-11 (توقع)</t>
        </is>
      </c>
      <c r="B50" s="17" t="n"/>
      <c r="C50" s="17" t="n"/>
      <c r="D50" s="17" t="n">
        <v>113.56</v>
      </c>
      <c r="E50" s="17" t="n"/>
      <c r="F50" s="17" t="n"/>
      <c r="G50" s="17" t="n">
        <v>88.77</v>
      </c>
      <c r="H50" s="17" t="n"/>
      <c r="I50" s="17" t="n"/>
      <c r="J50" s="17" t="n">
        <v>31.25</v>
      </c>
      <c r="K50" s="17" t="n"/>
      <c r="L50" s="17" t="n"/>
      <c r="M50" s="17" t="n">
        <v>27.75</v>
      </c>
      <c r="N50" s="17" t="n"/>
      <c r="O50" s="17" t="n"/>
      <c r="P50" s="17" t="n">
        <v>31.51</v>
      </c>
    </row>
    <row r="51">
      <c r="A51" s="4" t="inlineStr">
        <is>
          <t>2026-12 (توقع)</t>
        </is>
      </c>
      <c r="B51" s="17" t="n"/>
      <c r="C51" s="17" t="n"/>
      <c r="D51" s="17" t="n">
        <v>80.31999999999999</v>
      </c>
      <c r="E51" s="17" t="n"/>
      <c r="F51" s="17" t="n"/>
      <c r="G51" s="17" t="n">
        <v>115.53</v>
      </c>
      <c r="H51" s="17" t="n"/>
      <c r="I51" s="17" t="n"/>
      <c r="J51" s="17" t="n">
        <v>40.45</v>
      </c>
      <c r="K51" s="17" t="n"/>
      <c r="L51" s="17" t="n"/>
      <c r="M51" s="17" t="n">
        <v>25.88</v>
      </c>
      <c r="N51" s="17" t="n"/>
      <c r="O51" s="17" t="n"/>
      <c r="P51" s="17" t="n">
        <v>28.21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2026-10-19T18:24:03Z</dcterms:created>
  <dcterms:modified xmlns:dcterms="http://purl.org/dc/terms/" xmlns:xsi="http://www.w3.org/2001/XMLSchema-instance" xsi:type="dcterms:W3CDTF">2026-10-19T18:24:03Z</dcterms:modified>
</cp:coreProperties>
</file>